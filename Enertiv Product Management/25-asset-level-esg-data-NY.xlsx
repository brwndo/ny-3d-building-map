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et-Level Data" sheetId="1" state="visible" r:id="rId3"/>
    <sheet name="Baseline &amp; Targets" sheetId="2" state="visible" r:id="rId4"/>
    <sheet name="Compliance Exposure (LL97)" sheetId="3" state="visible" r:id="rId5"/>
    <sheet name="Management (Entity-Level)" sheetId="4" state="visible" r:id="rId6"/>
    <sheet name="Legend &amp; Notes" sheetId="5" state="visible" r:id="rId7"/>
  </sheets>
  <definedNames>
    <definedName function="false" hidden="true" localSheetId="0" name="_xlnm._FilterDatabase" vbProcedure="false">'Asset-Level Data'!$A$1:$AD$31</definedName>
    <definedName function="false" hidden="true" localSheetId="1" name="_xlnm._FilterDatabase" vbProcedure="false">'Baseline &amp; Targets'!$A$1:$M$181</definedName>
    <definedName function="false" hidden="true" localSheetId="2" name="_xlnm._FilterDatabase" vbProcedure="false">'Compliance Exposure (LL97)'!$A$1:$S$31</definedName>
    <definedName function="false" hidden="true" localSheetId="3" name="_xlnm._FilterDatabase" vbProcedure="false">'Management (Entity-Level)'!$A$1:$K$27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<sst xmlns="http://schemas.openxmlformats.org/spreadsheetml/2006/main" count="1801" uniqueCount="510">
  <si>
    <t xml:space="preserve">Asset ID</t>
  </si>
  <si>
    <t xml:space="preserve">Asset Name</t>
  </si>
  <si>
    <t xml:space="preserve">Number of Floors</t>
  </si>
  <si>
    <t xml:space="preserve">Address</t>
  </si>
  <si>
    <t xml:space="preserve">City</t>
  </si>
  <si>
    <t xml:space="preserve">State</t>
  </si>
  <si>
    <t xml:space="preserve">Zip Code</t>
  </si>
  <si>
    <t xml:space="preserve">Latitude</t>
  </si>
  <si>
    <t xml:space="preserve">Longitude</t>
  </si>
  <si>
    <t xml:space="preserve">Property Type</t>
  </si>
  <si>
    <t xml:space="preserve">Floor Area (sq ft)</t>
  </si>
  <si>
    <t xml:space="preserve">EN1 - Energy Imported (kWh)</t>
  </si>
  <si>
    <t xml:space="preserve">EN1 - Energy Generated On-site (kWh)</t>
  </si>
  <si>
    <t xml:space="preserve">EN1 - Energy Exported (kWh)</t>
  </si>
  <si>
    <t xml:space="preserve">EUI (kWh/sq ft)</t>
  </si>
  <si>
    <t xml:space="preserve">GH1 - Scope 1 (mtCO2e)</t>
  </si>
  <si>
    <t xml:space="preserve">GH1 - Scope 2 Location-based (mtCO2e)</t>
  </si>
  <si>
    <t xml:space="preserve">GH1 - Scope 2 Market-based (mtCO2e)</t>
  </si>
  <si>
    <t xml:space="preserve">GH1 - Scope 3, unscored (mtCO2e)</t>
  </si>
  <si>
    <t xml:space="preserve">WT1 - Water Withdrawals (gal)</t>
  </si>
  <si>
    <t xml:space="preserve">WT2 - Discharge to Sensitive Waterways (gal)</t>
  </si>
  <si>
    <t xml:space="preserve">WS1 - Waste Diversion Rate (%)</t>
  </si>
  <si>
    <t xml:space="preserve">BC1.1 - Design/Construction Certification</t>
  </si>
  <si>
    <t xml:space="preserve">BC1.2 - Operational Certification</t>
  </si>
  <si>
    <t xml:space="preserve">BC2 - Ongoing Certification</t>
  </si>
  <si>
    <t xml:space="preserve">Data Coverage (%)</t>
  </si>
  <si>
    <t xml:space="preserve">ENERGY STAR Score (1-100)</t>
  </si>
  <si>
    <t xml:space="preserve">Confidence Tier</t>
  </si>
  <si>
    <t xml:space="preserve">Data Source</t>
  </si>
  <si>
    <t xml:space="preserve">Last Updated</t>
  </si>
  <si>
    <t xml:space="preserve">Assumptions (fabricated demo data)</t>
  </si>
  <si>
    <t xml:space="preserve">NY-001</t>
  </si>
  <si>
    <t xml:space="preserve">Hunts Point Logistics Hub</t>
  </si>
  <si>
    <t xml:space="preserve">1924 Marcus Blvd</t>
  </si>
  <si>
    <t xml:space="preserve">Bronx</t>
  </si>
  <si>
    <t xml:space="preserve">NY</t>
  </si>
  <si>
    <t xml:space="preserve">10474</t>
  </si>
  <si>
    <t xml:space="preserve">Manufacturing</t>
  </si>
  <si>
    <t xml:space="preserve">LEED BD+C Certified</t>
  </si>
  <si>
    <t xml:space="preserve">None</t>
  </si>
  <si>
    <t xml:space="preserve">Estimated</t>
  </si>
  <si>
    <t xml:space="preserve">Landlord submeter</t>
  </si>
  <si>
    <t xml:space="preserve">2026-06-23</t>
  </si>
  <si>
    <t xml:space="preserve">NY grid emission factor used for GH1 Scope 2 (location-based), mtCO2e/kWh - illustrative, not sourced</t>
  </si>
  <si>
    <t xml:space="preserve">NY-002</t>
  </si>
  <si>
    <t xml:space="preserve">Navy Yard Industrial Park - Bldg 1</t>
  </si>
  <si>
    <t xml:space="preserve">5674 Commerce Dr</t>
  </si>
  <si>
    <t xml:space="preserve">Brooklyn</t>
  </si>
  <si>
    <t xml:space="preserve">11205</t>
  </si>
  <si>
    <t xml:space="preserve">Cold Storage</t>
  </si>
  <si>
    <t xml:space="preserve">LEED O+M Silver</t>
  </si>
  <si>
    <t xml:space="preserve">Verified</t>
  </si>
  <si>
    <t xml:space="preserve">2026-07-19</t>
  </si>
  <si>
    <t xml:space="preserve">Grid factor value</t>
  </si>
  <si>
    <t xml:space="preserve">NY-003</t>
  </si>
  <si>
    <t xml:space="preserve">LIC Fulfillment Center</t>
  </si>
  <si>
    <t xml:space="preserve">1407 Corporate Pkwy</t>
  </si>
  <si>
    <t xml:space="preserve">Queens</t>
  </si>
  <si>
    <t xml:space="preserve">11101</t>
  </si>
  <si>
    <t xml:space="preserve">Flex Industrial</t>
  </si>
  <si>
    <t xml:space="preserve">Missing</t>
  </si>
  <si>
    <t xml:space="preserve">2026-06-20</t>
  </si>
  <si>
    <t xml:space="preserve">All asset data below is synthetic/fabricated for prototyping and does not represent real buildings.</t>
  </si>
  <si>
    <t xml:space="preserve">NY-004</t>
  </si>
  <si>
    <t xml:space="preserve">Harbor View Cross-Dock Terminal</t>
  </si>
  <si>
    <t xml:space="preserve">1016 Industrial Loop</t>
  </si>
  <si>
    <t xml:space="preserve">Staten Island</t>
  </si>
  <si>
    <t xml:space="preserve">10314</t>
  </si>
  <si>
    <t xml:space="preserve">Light Industrial</t>
  </si>
  <si>
    <t xml:space="preserve">ENERGY STAR Certified 2025</t>
  </si>
  <si>
    <t xml:space="preserve">Estimate - prior year carried forward</t>
  </si>
  <si>
    <t xml:space="preserve">2026-05-22</t>
  </si>
  <si>
    <t xml:space="preserve">NY-005</t>
  </si>
  <si>
    <t xml:space="preserve">Cross-County Cold Storage Facility</t>
  </si>
  <si>
    <t xml:space="preserve">6030 Distribution Way</t>
  </si>
  <si>
    <t xml:space="preserve">Yonkers</t>
  </si>
  <si>
    <t xml:space="preserve">10701</t>
  </si>
  <si>
    <t xml:space="preserve">Logistics/Cross-dock</t>
  </si>
  <si>
    <t xml:space="preserve">LEED BD+C Silver</t>
  </si>
  <si>
    <t xml:space="preserve">LEED O+M Certified</t>
  </si>
  <si>
    <t xml:space="preserve">Utility API feed</t>
  </si>
  <si>
    <t xml:space="preserve">2026-06-27</t>
  </si>
  <si>
    <t xml:space="preserve">NY-006</t>
  </si>
  <si>
    <t xml:space="preserve">Sound Shore Manufacturing Plant</t>
  </si>
  <si>
    <t xml:space="preserve">4471 Enterprise Ave</t>
  </si>
  <si>
    <t xml:space="preserve">New Rochelle</t>
  </si>
  <si>
    <t xml:space="preserve">10801</t>
  </si>
  <si>
    <t xml:space="preserve">Warehouse/Distribution</t>
  </si>
  <si>
    <t xml:space="preserve">2026-05-20</t>
  </si>
  <si>
    <t xml:space="preserve">NY-007</t>
  </si>
  <si>
    <t xml:space="preserve">Saw Mill Flex Industrial Campus</t>
  </si>
  <si>
    <t xml:space="preserve">8105 Fulton Industrial Rd</t>
  </si>
  <si>
    <t xml:space="preserve">Mount Vernon</t>
  </si>
  <si>
    <t xml:space="preserve">10550</t>
  </si>
  <si>
    <t xml:space="preserve">2026-02-27</t>
  </si>
  <si>
    <t xml:space="preserve">NY-008</t>
  </si>
  <si>
    <t xml:space="preserve">Broadway Corridor Warehouse</t>
  </si>
  <si>
    <t xml:space="preserve">3395 Harbor Logistics Ln</t>
  </si>
  <si>
    <t xml:space="preserve">Elmsford</t>
  </si>
  <si>
    <t xml:space="preserve">10523</t>
  </si>
  <si>
    <t xml:space="preserve">2026-07-20</t>
  </si>
  <si>
    <t xml:space="preserve">NY-009</t>
  </si>
  <si>
    <t xml:space="preserve">Sunrise Supply Chain Center</t>
  </si>
  <si>
    <t xml:space="preserve">1260 Trade Center Dr</t>
  </si>
  <si>
    <t xml:space="preserve">Hicksville</t>
  </si>
  <si>
    <t xml:space="preserve">11801</t>
  </si>
  <si>
    <t xml:space="preserve">NY-010</t>
  </si>
  <si>
    <t xml:space="preserve">Great South Bay Distribution Center</t>
  </si>
  <si>
    <t xml:space="preserve">1890 Gateway Blvd</t>
  </si>
  <si>
    <t xml:space="preserve">Bay Shore</t>
  </si>
  <si>
    <t xml:space="preserve">11706</t>
  </si>
  <si>
    <t xml:space="preserve">2026-01-15</t>
  </si>
  <si>
    <t xml:space="preserve">NY-011</t>
  </si>
  <si>
    <t xml:space="preserve">Long Island Logistics Hub</t>
  </si>
  <si>
    <t xml:space="preserve">6309 Freight St</t>
  </si>
  <si>
    <t xml:space="preserve">Ronkonkoma</t>
  </si>
  <si>
    <t xml:space="preserve">11779</t>
  </si>
  <si>
    <t xml:space="preserve">Tenant self-report</t>
  </si>
  <si>
    <t xml:space="preserve">2026-01-11</t>
  </si>
  <si>
    <t xml:space="preserve">NY-012</t>
  </si>
  <si>
    <t xml:space="preserve">Bethpage Industrial Park - Bldg 1</t>
  </si>
  <si>
    <t xml:space="preserve">9671 Depot Ave</t>
  </si>
  <si>
    <t xml:space="preserve">Farmingdale</t>
  </si>
  <si>
    <t xml:space="preserve">11735</t>
  </si>
  <si>
    <t xml:space="preserve">2026-03-16</t>
  </si>
  <si>
    <t xml:space="preserve">NY-013</t>
  </si>
  <si>
    <t xml:space="preserve">Half Hollow Fulfillment Center</t>
  </si>
  <si>
    <t xml:space="preserve">5247 Terminal Rd</t>
  </si>
  <si>
    <t xml:space="preserve">Melville</t>
  </si>
  <si>
    <t xml:space="preserve">11747</t>
  </si>
  <si>
    <t xml:space="preserve">2026-01-17</t>
  </si>
  <si>
    <t xml:space="preserve">NY-014</t>
  </si>
  <si>
    <t xml:space="preserve">Hudson Valley Cross-Dock Terminal</t>
  </si>
  <si>
    <t xml:space="preserve">6154 Cross Dock Ct</t>
  </si>
  <si>
    <t xml:space="preserve">Hauppauge</t>
  </si>
  <si>
    <t xml:space="preserve">11788</t>
  </si>
  <si>
    <t xml:space="preserve">NY-015</t>
  </si>
  <si>
    <t xml:space="preserve">Mid-Hudson Cold Storage Facility</t>
  </si>
  <si>
    <t xml:space="preserve">5717 Warehouse Row</t>
  </si>
  <si>
    <t xml:space="preserve">Newburgh</t>
  </si>
  <si>
    <t xml:space="preserve">12550</t>
  </si>
  <si>
    <t xml:space="preserve">2026-01-12</t>
  </si>
  <si>
    <t xml:space="preserve">NY-016</t>
  </si>
  <si>
    <t xml:space="preserve">Rondout Manufacturing Plant</t>
  </si>
  <si>
    <t xml:space="preserve">2542 Logistics Pkwy</t>
  </si>
  <si>
    <t xml:space="preserve">Poughkeepsie</t>
  </si>
  <si>
    <t xml:space="preserve">12601</t>
  </si>
  <si>
    <t xml:space="preserve">2026-02-15</t>
  </si>
  <si>
    <t xml:space="preserve">NY-017</t>
  </si>
  <si>
    <t xml:space="preserve">Capital Region Flex Industrial Campus</t>
  </si>
  <si>
    <t xml:space="preserve">3000 Foundry St</t>
  </si>
  <si>
    <t xml:space="preserve">Kingston</t>
  </si>
  <si>
    <t xml:space="preserve">12401</t>
  </si>
  <si>
    <t xml:space="preserve">ENERGY STAR Certified</t>
  </si>
  <si>
    <t xml:space="preserve">2026-03-17</t>
  </si>
  <si>
    <t xml:space="preserve">NY-018</t>
  </si>
  <si>
    <t xml:space="preserve">Mohawk Valley Warehouse</t>
  </si>
  <si>
    <t xml:space="preserve">3752 Rail Yard Rd</t>
  </si>
  <si>
    <t xml:space="preserve">Albany</t>
  </si>
  <si>
    <t xml:space="preserve">12205</t>
  </si>
  <si>
    <t xml:space="preserve">2026-04-26</t>
  </si>
  <si>
    <t xml:space="preserve">NY-019</t>
  </si>
  <si>
    <t xml:space="preserve">Hudson-Mohawk Supply Chain Center</t>
  </si>
  <si>
    <t xml:space="preserve">1994 Plant Ave</t>
  </si>
  <si>
    <t xml:space="preserve">Schenectady</t>
  </si>
  <si>
    <t xml:space="preserve">12305</t>
  </si>
  <si>
    <t xml:space="preserve">2026-06-13</t>
  </si>
  <si>
    <t xml:space="preserve">NY-020</t>
  </si>
  <si>
    <t xml:space="preserve">Central New York Distribution Center</t>
  </si>
  <si>
    <t xml:space="preserve">5020 Assembly Dr</t>
  </si>
  <si>
    <t xml:space="preserve">Troy</t>
  </si>
  <si>
    <t xml:space="preserve">12180</t>
  </si>
  <si>
    <t xml:space="preserve">LEED O+M Gold</t>
  </si>
  <si>
    <t xml:space="preserve">2026-07-28</t>
  </si>
  <si>
    <t xml:space="preserve">NY-021</t>
  </si>
  <si>
    <t xml:space="preserve">Genesee Valley Logistics Hub</t>
  </si>
  <si>
    <t xml:space="preserve">5379 Shipping Ln</t>
  </si>
  <si>
    <t xml:space="preserve">Syracuse</t>
  </si>
  <si>
    <t xml:space="preserve">13204</t>
  </si>
  <si>
    <t xml:space="preserve">NY-022</t>
  </si>
  <si>
    <t xml:space="preserve">Queen City Industrial Park - Bldg 1</t>
  </si>
  <si>
    <t xml:space="preserve">7884 Dock St</t>
  </si>
  <si>
    <t xml:space="preserve">Rochester</t>
  </si>
  <si>
    <t xml:space="preserve">14606</t>
  </si>
  <si>
    <t xml:space="preserve">2026-05-17</t>
  </si>
  <si>
    <t xml:space="preserve">NY-023</t>
  </si>
  <si>
    <t xml:space="preserve">Cheektowaga Gateway Fulfillment Center</t>
  </si>
  <si>
    <t xml:space="preserve">2088 Pier Industrial Rd</t>
  </si>
  <si>
    <t xml:space="preserve">Buffalo</t>
  </si>
  <si>
    <t xml:space="preserve">14206</t>
  </si>
  <si>
    <t xml:space="preserve">2026-07-18</t>
  </si>
  <si>
    <t xml:space="preserve">NY-024</t>
  </si>
  <si>
    <t xml:space="preserve">Mohawk Corridor Cross-Dock Terminal</t>
  </si>
  <si>
    <t xml:space="preserve">8640 Manufacturing Dr</t>
  </si>
  <si>
    <t xml:space="preserve">Cheektowaga</t>
  </si>
  <si>
    <t xml:space="preserve">14225</t>
  </si>
  <si>
    <t xml:space="preserve">2026-07-23</t>
  </si>
  <si>
    <t xml:space="preserve">NY-025</t>
  </si>
  <si>
    <t xml:space="preserve">Empire Corridor Cold Storage Facility</t>
  </si>
  <si>
    <t xml:space="preserve">6481 Supply Chain Blvd</t>
  </si>
  <si>
    <t xml:space="preserve">Utica</t>
  </si>
  <si>
    <t xml:space="preserve">13501</t>
  </si>
  <si>
    <t xml:space="preserve">2026-03-22</t>
  </si>
  <si>
    <t xml:space="preserve">NY-026</t>
  </si>
  <si>
    <t xml:space="preserve">Fulton Street Mixed-Use Tower</t>
  </si>
  <si>
    <t xml:space="preserve">745 Fulton St</t>
  </si>
  <si>
    <t xml:space="preserve">Downtown Brooklyn</t>
  </si>
  <si>
    <t xml:space="preserve">11201</t>
  </si>
  <si>
    <t xml:space="preserve">Mixed-Use Residential/Commercial</t>
  </si>
  <si>
    <t xml:space="preserve">2026-07-27</t>
  </si>
  <si>
    <t xml:space="preserve">NY-027</t>
  </si>
  <si>
    <t xml:space="preserve">White Plains Residential-Commercial Complex</t>
  </si>
  <si>
    <t xml:space="preserve">1 Renaissance Sq</t>
  </si>
  <si>
    <t xml:space="preserve">White Plains</t>
  </si>
  <si>
    <t xml:space="preserve">10601</t>
  </si>
  <si>
    <t xml:space="preserve">2026-02-23</t>
  </si>
  <si>
    <t xml:space="preserve">NY-028</t>
  </si>
  <si>
    <t xml:space="preserve">Pearl Street Mixed-Use Tower</t>
  </si>
  <si>
    <t xml:space="preserve">300 Pearl St</t>
  </si>
  <si>
    <t xml:space="preserve">Downtown Buffalo</t>
  </si>
  <si>
    <t xml:space="preserve">14202</t>
  </si>
  <si>
    <t xml:space="preserve">2026-06-28</t>
  </si>
  <si>
    <t xml:space="preserve">NY-029</t>
  </si>
  <si>
    <t xml:space="preserve">East Main Riverside Mixed-Use Development</t>
  </si>
  <si>
    <t xml:space="preserve">28 East Main St</t>
  </si>
  <si>
    <t xml:space="preserve">Downtown Rochester</t>
  </si>
  <si>
    <t xml:space="preserve">14604</t>
  </si>
  <si>
    <t xml:space="preserve">2026-07-14</t>
  </si>
  <si>
    <t xml:space="preserve">NY-030</t>
  </si>
  <si>
    <t xml:space="preserve">State Street Capital Mixed-Use Tower</t>
  </si>
  <si>
    <t xml:space="preserve">60 State St</t>
  </si>
  <si>
    <t xml:space="preserve">Downtown Albany</t>
  </si>
  <si>
    <t xml:space="preserve">12207</t>
  </si>
  <si>
    <t xml:space="preserve">LEED BD+C Gold</t>
  </si>
  <si>
    <t xml:space="preserve">2026-01-18</t>
  </si>
  <si>
    <t xml:space="preserve">PORTFOLIO TOTAL / WEIGHTED AVG</t>
  </si>
  <si>
    <t xml:space="preserve">Metric</t>
  </si>
  <si>
    <t xml:space="preserve">Unit</t>
  </si>
  <si>
    <t xml:space="preserve">Direction</t>
  </si>
  <si>
    <t xml:space="preserve">Baseline Value</t>
  </si>
  <si>
    <t xml:space="preserve">Baseline Year</t>
  </si>
  <si>
    <t xml:space="preserve">Current Value</t>
  </si>
  <si>
    <t xml:space="preserve">Target Value</t>
  </si>
  <si>
    <t xml:space="preserve">Target Year</t>
  </si>
  <si>
    <t xml:space="preserve">% Progress to Target</t>
  </si>
  <si>
    <t xml:space="preserve">Variance vs Target</t>
  </si>
  <si>
    <t xml:space="preserve">Status</t>
  </si>
  <si>
    <t xml:space="preserve">GHG Emissions (Scope 1+2, location-based)</t>
  </si>
  <si>
    <t xml:space="preserve">mtCO2e</t>
  </si>
  <si>
    <t xml:space="preserve">Lower is better</t>
  </si>
  <si>
    <t xml:space="preserve">Reduction targets (lower-is-better metrics, baseline -&gt; target year)</t>
  </si>
  <si>
    <t xml:space="preserve">GHG reduction target</t>
  </si>
  <si>
    <t xml:space="preserve">EUI reduction target</t>
  </si>
  <si>
    <t xml:space="preserve">Water reduction target</t>
  </si>
  <si>
    <t xml:space="preserve">Fixed targets (higher-is-better metrics)</t>
  </si>
  <si>
    <t xml:space="preserve">Waste diversion fixed target</t>
  </si>
  <si>
    <t xml:space="preserve">ENERGY STAR fixed target</t>
  </si>
  <si>
    <t xml:space="preserve">Data coverage fixed target</t>
  </si>
  <si>
    <t xml:space="preserve">Baseline values are fabricated for prototyping and do not represent real historical performance.</t>
  </si>
  <si>
    <t xml:space="preserve">Energy Use Intensity (EUI)</t>
  </si>
  <si>
    <t xml:space="preserve">kWh/sq ft</t>
  </si>
  <si>
    <t xml:space="preserve">Water Use (WT1)</t>
  </si>
  <si>
    <t xml:space="preserve">gal</t>
  </si>
  <si>
    <t xml:space="preserve">Waste Diversion Rate (WS1)</t>
  </si>
  <si>
    <t xml:space="preserve">%</t>
  </si>
  <si>
    <t xml:space="preserve">Higher is better</t>
  </si>
  <si>
    <t xml:space="preserve">ENERGY STAR Score</t>
  </si>
  <si>
    <t xml:space="preserve">1-100</t>
  </si>
  <si>
    <t xml:space="preserve">Data Coverage</t>
  </si>
  <si>
    <t xml:space="preserve">LL97 Applicable</t>
  </si>
  <si>
    <t xml:space="preserve">Current Annual Emissions - Scope 1+2 (mtCO2e)</t>
  </si>
  <si>
    <t xml:space="preserve">2024-2029 Emissions Limit (mtCO2e)</t>
  </si>
  <si>
    <t xml:space="preserve">Over/(Under) Cap 2024-2029 (mtCO2e)</t>
  </si>
  <si>
    <t xml:space="preserve">Estimated Fine Exposure 2024-2029 ($)</t>
  </si>
  <si>
    <t xml:space="preserve">2030-2034 Emissions Limit (mtCO2e)</t>
  </si>
  <si>
    <t xml:space="preserve">Projected Over/(Under) Cap 2030-2034 (mtCO2e)</t>
  </si>
  <si>
    <t xml:space="preserve">Projected Fine Exposure 2030-2034 ($)</t>
  </si>
  <si>
    <t xml:space="preserve">LL84 Filing Status</t>
  </si>
  <si>
    <t xml:space="preserve">LL84 Next Filing Deadline</t>
  </si>
  <si>
    <t xml:space="preserve">Days to Deadline</t>
  </si>
  <si>
    <t xml:space="preserve">Non-Filing Penalty Rate ($/month if unfiled)</t>
  </si>
  <si>
    <t xml:space="preserve">Other NYC Local Laws Applicable</t>
  </si>
  <si>
    <t xml:space="preserve">Compliance Status 2024-2029</t>
  </si>
  <si>
    <t xml:space="preserve">Compliance Status 2030-2034 (Projected)</t>
  </si>
  <si>
    <t xml:space="preserve">Limit 2024-2029 (mtCO2e/sq ft)</t>
  </si>
  <si>
    <t xml:space="preserve">Limit 2030-2034 (mtCO2e/sq ft)</t>
  </si>
  <si>
    <t xml:space="preserve">Filed</t>
  </si>
  <si>
    <t xml:space="preserve">LL84, LL88, LL33</t>
  </si>
  <si>
    <t xml:space="preserve">Not Filed</t>
  </si>
  <si>
    <t xml:space="preserve">Filed - Late</t>
  </si>
  <si>
    <t xml:space="preserve">LL84, LL87 (audit due 2029), LL88, LL33</t>
  </si>
  <si>
    <t xml:space="preserve">LL84, LL87 (audit due 2027), LL88, LL33</t>
  </si>
  <si>
    <t xml:space="preserve">LL97 penalty rate ($/mtCO2e over cap)</t>
  </si>
  <si>
    <t xml:space="preserve">LL84 non-filing penalty rate ($/sq ft/month)</t>
  </si>
  <si>
    <t xml:space="preserve">Next LL84 annual filing deadline</t>
  </si>
  <si>
    <t xml:space="preserve">Emissions limits (columns V:W above) are illustrative, fabricated approximations for prototyping - NOT the real NYC DOB occupancy-group limits. The Mixed-Use Residential/Commercial limit is a single blended figure; real LL97 applies separate occupancy-group limits to the residential and commercial portions of a mixed-use building. Replace with the actual Local Law 97 covered-building limit tables before using for real compliance decisions.</t>
  </si>
  <si>
    <t xml:space="preserve">PORTFOLIO TOTAL</t>
  </si>
  <si>
    <t xml:space="preserve">Indicator Code</t>
  </si>
  <si>
    <t xml:space="preserve">Aspect</t>
  </si>
  <si>
    <t xml:space="preserve">Indicator Name</t>
  </si>
  <si>
    <t xml:space="preserve">Response / Status</t>
  </si>
  <si>
    <t xml:space="preserve">Portfolio Coverage (%)</t>
  </si>
  <si>
    <t xml:space="preserve">Evidence / Document Reference</t>
  </si>
  <si>
    <t xml:space="preserve">Owner / Accountable Role</t>
  </si>
  <si>
    <t xml:space="preserve">Last Reviewed</t>
  </si>
  <si>
    <t xml:space="preserve">Points Earned</t>
  </si>
  <si>
    <t xml:space="preserve">Max Points</t>
  </si>
  <si>
    <t xml:space="preserve">Notes</t>
  </si>
  <si>
    <t xml:space="preserve">LE1</t>
  </si>
  <si>
    <t xml:space="preserve">Leadership</t>
  </si>
  <si>
    <t xml:space="preserve">Senior decision-maker accountable for sustainability</t>
  </si>
  <si>
    <t xml:space="preserve">Yes - Chief Sustainability Officer</t>
  </si>
  <si>
    <t xml:space="preserve">Org chart v3, Board Charter Sec. 4.2</t>
  </si>
  <si>
    <t xml:space="preserve">Chief Sustainability Officer</t>
  </si>
  <si>
    <t xml:space="preserve">2026-02-10</t>
  </si>
  <si>
    <t xml:space="preserve">Reports directly to CEO</t>
  </si>
  <si>
    <t xml:space="preserve">LE2</t>
  </si>
  <si>
    <t xml:space="preserve">Board-level oversight of ESG strategy</t>
  </si>
  <si>
    <t xml:space="preserve">Yes - quarterly board review</t>
  </si>
  <si>
    <t xml:space="preserve">Board minutes, Q1-Q4 2025</t>
  </si>
  <si>
    <t xml:space="preserve">Board of Directors</t>
  </si>
  <si>
    <t xml:space="preserve">Standing agenda item</t>
  </si>
  <si>
    <t xml:space="preserve">LE3</t>
  </si>
  <si>
    <t xml:space="preserve">ESG performance linked to variable compensation</t>
  </si>
  <si>
    <t xml:space="preserve">Partial - applies to CSO and asset mgmt leads only</t>
  </si>
  <si>
    <t xml:space="preserve">Compensation policy v2.1</t>
  </si>
  <si>
    <t xml:space="preserve">Head of HR</t>
  </si>
  <si>
    <t xml:space="preserve">2025-11-01</t>
  </si>
  <si>
    <t xml:space="preserve">Not yet extended to property-level staff</t>
  </si>
  <si>
    <t xml:space="preserve">LE4</t>
  </si>
  <si>
    <t xml:space="preserve">Dedicated sustainability team or function</t>
  </si>
  <si>
    <t xml:space="preserve">Yes - 3 FTE sustainability team</t>
  </si>
  <si>
    <t xml:space="preserve">Org chart v3</t>
  </si>
  <si>
    <t xml:space="preserve">Team formed 2023</t>
  </si>
  <si>
    <t xml:space="preserve">PO1</t>
  </si>
  <si>
    <t xml:space="preserve">Policies</t>
  </si>
  <si>
    <t xml:space="preserve">Documented environmental policy</t>
  </si>
  <si>
    <t xml:space="preserve">Yes</t>
  </si>
  <si>
    <t xml:space="preserve">Environmental Policy v4, effective 2025-06-01</t>
  </si>
  <si>
    <t xml:space="preserve">2025-06-01</t>
  </si>
  <si>
    <t xml:space="preserve">Covers energy, emissions, water, waste</t>
  </si>
  <si>
    <t xml:space="preserve">PO2</t>
  </si>
  <si>
    <t xml:space="preserve">Documented social policy</t>
  </si>
  <si>
    <t xml:space="preserve">Social Responsibility Policy v2</t>
  </si>
  <si>
    <t xml:space="preserve">2025-03-14</t>
  </si>
  <si>
    <t xml:space="preserve">Covers labor practices, tenant relations</t>
  </si>
  <si>
    <t xml:space="preserve">PO3</t>
  </si>
  <si>
    <t xml:space="preserve">Documented governance / anti-corruption policy</t>
  </si>
  <si>
    <t xml:space="preserve">Code of Business Conduct v5</t>
  </si>
  <si>
    <t xml:space="preserve">General Counsel</t>
  </si>
  <si>
    <t xml:space="preserve">2025-09-20</t>
  </si>
  <si>
    <t xml:space="preserve">Annual employee attestation required</t>
  </si>
  <si>
    <t xml:space="preserve">RE1</t>
  </si>
  <si>
    <t xml:space="preserve">Reporting</t>
  </si>
  <si>
    <t xml:space="preserve">Reports against a recognized external framework</t>
  </si>
  <si>
    <t xml:space="preserve">Yes - GRI and TCFD-aligned</t>
  </si>
  <si>
    <t xml:space="preserve">2025 Annual ESG Report, published 2026-03-01</t>
  </si>
  <si>
    <t xml:space="preserve">2026-03-01</t>
  </si>
  <si>
    <t xml:space="preserve">First TCFD-aligned disclosure in 2024</t>
  </si>
  <si>
    <t xml:space="preserve">RE2</t>
  </si>
  <si>
    <t xml:space="preserve">Third-party assurance of reported ESG data</t>
  </si>
  <si>
    <t xml:space="preserve">Partial - limited assurance on Scope 1+2 only</t>
  </si>
  <si>
    <t xml:space="preserve">Assurance Statement, ABC Assurance LLP</t>
  </si>
  <si>
    <t xml:space="preserve">Chief Financial Officer</t>
  </si>
  <si>
    <t xml:space="preserve">Reasonable assurance targeted for 2027 cycle</t>
  </si>
  <si>
    <t xml:space="preserve">RE3</t>
  </si>
  <si>
    <t xml:space="preserve">Public ESG disclosure (CDP or equivalent)</t>
  </si>
  <si>
    <t xml:space="preserve">Yes - CDP Climate submission</t>
  </si>
  <si>
    <t xml:space="preserve">CDP Climate Change Response 2025</t>
  </si>
  <si>
    <t xml:space="preserve">2025-07-31</t>
  </si>
  <si>
    <t xml:space="preserve">Score: B (2025 cycle)</t>
  </si>
  <si>
    <t xml:space="preserve">RM1</t>
  </si>
  <si>
    <t xml:space="preserve">Risk Management</t>
  </si>
  <si>
    <t xml:space="preserve">Environmental Management System (EMS) in place</t>
  </si>
  <si>
    <t xml:space="preserve">Yes - ISO 14001-aligned, not certified</t>
  </si>
  <si>
    <t xml:space="preserve">EMS Manual v3</t>
  </si>
  <si>
    <t xml:space="preserve">Director of Facilities</t>
  </si>
  <si>
    <t xml:space="preserve">2025-08-12</t>
  </si>
  <si>
    <t xml:space="preserve">Certification planned FY2027</t>
  </si>
  <si>
    <t xml:space="preserve">RM2</t>
  </si>
  <si>
    <t xml:space="preserve">Process to implement governance policies</t>
  </si>
  <si>
    <t xml:space="preserve">Yes - documented rollout &amp; training process</t>
  </si>
  <si>
    <t xml:space="preserve">Governance Rollout SOP</t>
  </si>
  <si>
    <t xml:space="preserve">Annual refresher training</t>
  </si>
  <si>
    <t xml:space="preserve">RM3.1</t>
  </si>
  <si>
    <t xml:space="preserve">Social risk assessment process</t>
  </si>
  <si>
    <t xml:space="preserve">Yes - annual assessment</t>
  </si>
  <si>
    <t xml:space="preserve">Social Risk Register 2025</t>
  </si>
  <si>
    <t xml:space="preserve">2025-12-01</t>
  </si>
  <si>
    <t xml:space="preserve">Covers labor and tenant-relations risk</t>
  </si>
  <si>
    <t xml:space="preserve">RM3.2</t>
  </si>
  <si>
    <t xml:space="preserve">Governance risk assessment process</t>
  </si>
  <si>
    <t xml:space="preserve">Governance Risk Register 2025</t>
  </si>
  <si>
    <t xml:space="preserve">RM4.1</t>
  </si>
  <si>
    <t xml:space="preserve">Sustainability due diligence for new acquisitions</t>
  </si>
  <si>
    <t xml:space="preserve">Yes - standard acquisition checklist</t>
  </si>
  <si>
    <t xml:space="preserve">Acquisition ESG Checklist v2</t>
  </si>
  <si>
    <t xml:space="preserve">Head of Acquisitions</t>
  </si>
  <si>
    <t xml:space="preserve">2025-10-05</t>
  </si>
  <si>
    <t xml:space="preserve">Applied to 3 acquisitions in 2025</t>
  </si>
  <si>
    <t xml:space="preserve">RM4.2</t>
  </si>
  <si>
    <t xml:space="preserve">Embodied carbon assessed in acquisitions</t>
  </si>
  <si>
    <t xml:space="preserve">No - not yet incorporated</t>
  </si>
  <si>
    <t xml:space="preserve">Identified as 2027 roadmap item</t>
  </si>
  <si>
    <t xml:space="preserve">RM5</t>
  </si>
  <si>
    <t xml:space="preserve">Climate resilience strategy</t>
  </si>
  <si>
    <t xml:space="preserve">Partial - flood risk only, no heat/wind resilience plan</t>
  </si>
  <si>
    <t xml:space="preserve">Climate Resilience Memo 2025</t>
  </si>
  <si>
    <t xml:space="preserve">2025-11-15</t>
  </si>
  <si>
    <t xml:space="preserve">Flood modeling complete for all NY assets</t>
  </si>
  <si>
    <t xml:space="preserve">RM6.1</t>
  </si>
  <si>
    <t xml:space="preserve">Transition risk identification process</t>
  </si>
  <si>
    <t xml:space="preserve">Yes - annual screening incl. LL97/BPS exposure</t>
  </si>
  <si>
    <t xml:space="preserve">Transition Risk Screening 2025</t>
  </si>
  <si>
    <t xml:space="preserve">2025-12-10</t>
  </si>
  <si>
    <t xml:space="preserve">Uses CRREM pathways</t>
  </si>
  <si>
    <t xml:space="preserve">RM6.2</t>
  </si>
  <si>
    <t xml:space="preserve">Transition risk impact assessment (financial)</t>
  </si>
  <si>
    <t xml:space="preserve">Yes - $ exposure modeled per asset</t>
  </si>
  <si>
    <t xml:space="preserve">LL97 Exposure Model v3</t>
  </si>
  <si>
    <t xml:space="preserve">Feeds portfolio compliance-exposure metric</t>
  </si>
  <si>
    <t xml:space="preserve">RM6.3</t>
  </si>
  <si>
    <t xml:space="preserve">Physical risk identification process</t>
  </si>
  <si>
    <t xml:space="preserve">Yes - flood, extreme heat screened</t>
  </si>
  <si>
    <t xml:space="preserve">Physical Risk Screening 2025</t>
  </si>
  <si>
    <t xml:space="preserve">RM6.4</t>
  </si>
  <si>
    <t xml:space="preserve">Physical risk impact assessment (financial)</t>
  </si>
  <si>
    <t xml:space="preserve">Partial - flood only, heat impact not yet quantified</t>
  </si>
  <si>
    <t xml:space="preserve">RM7</t>
  </si>
  <si>
    <t xml:space="preserve">Biodiversity / nature-related strategy</t>
  </si>
  <si>
    <t xml:space="preserve">No - not yet developed</t>
  </si>
  <si>
    <t xml:space="preserve">Low materiality for industrial portfolio; under review</t>
  </si>
  <si>
    <t xml:space="preserve">SE1</t>
  </si>
  <si>
    <t xml:space="preserve">Stakeholder Engagement</t>
  </si>
  <si>
    <t xml:space="preserve">Tenant engagement program</t>
  </si>
  <si>
    <t xml:space="preserve">Yes - annual tenant sustainability survey</t>
  </si>
  <si>
    <t xml:space="preserve">Tenant Survey Results 2025</t>
  </si>
  <si>
    <t xml:space="preserve">Director of Property Management</t>
  </si>
  <si>
    <t xml:space="preserve">2025-10-20</t>
  </si>
  <si>
    <t xml:space="preserve">76% of tenants by floor area responded</t>
  </si>
  <si>
    <t xml:space="preserve">SE2</t>
  </si>
  <si>
    <t xml:space="preserve">Employee engagement on sustainability</t>
  </si>
  <si>
    <t xml:space="preserve">Yes - annual training + internal newsletter</t>
  </si>
  <si>
    <t xml:space="preserve">Training completion log 2025</t>
  </si>
  <si>
    <t xml:space="preserve">2025-09-01</t>
  </si>
  <si>
    <t xml:space="preserve">92% completion rate</t>
  </si>
  <si>
    <t xml:space="preserve">SE3</t>
  </si>
  <si>
    <t xml:space="preserve">Community engagement program</t>
  </si>
  <si>
    <t xml:space="preserve">Partial - ad hoc only, no formal program</t>
  </si>
  <si>
    <t xml:space="preserve">Community outreach log 2025</t>
  </si>
  <si>
    <t xml:space="preserve">2025-06-30</t>
  </si>
  <si>
    <t xml:space="preserve">Formal program planned FY2027</t>
  </si>
  <si>
    <t xml:space="preserve">SE4</t>
  </si>
  <si>
    <t xml:space="preserve">Investor / LP ESG engagement</t>
  </si>
  <si>
    <t xml:space="preserve">Yes - quarterly ESG briefing to LPs</t>
  </si>
  <si>
    <t xml:space="preserve">LP Quarterly ESG Briefing deck, Q4 2025</t>
  </si>
  <si>
    <t xml:space="preserve">Head of Investor Relations</t>
  </si>
  <si>
    <t xml:space="preserve">2026-01-20</t>
  </si>
  <si>
    <t xml:space="preserve">Includes GRESB score walkthrough</t>
  </si>
  <si>
    <t xml:space="preserve">TOTAL - MANAGEMENT COMPONENT</t>
  </si>
  <si>
    <t xml:space="preserve">% of Management Component achieved</t>
  </si>
  <si>
    <t xml:space="preserve">Field</t>
  </si>
  <si>
    <t xml:space="preserve">Definition</t>
  </si>
  <si>
    <t xml:space="preserve">EN1</t>
  </si>
  <si>
    <t xml:space="preserve">GRESB energy indicator - total energy imported/purchased, generated on-site, and exported/sold, per building.</t>
  </si>
  <si>
    <t xml:space="preserve">EUI</t>
  </si>
  <si>
    <t xml:space="preserve">Energy Use Intensity = EN1 Imported / Floor Area (kWh/sq ft). Portfolio EUI should be floor-area-weighted, not simple-averaged.</t>
  </si>
  <si>
    <t xml:space="preserve">GH1</t>
  </si>
  <si>
    <t xml:space="preserve">GRESB GHG indicator - Scope 1 (on-site combustion), Scope 2 location-based (mandatory) and market-based (optional), Scope 3 (unscored).</t>
  </si>
  <si>
    <t xml:space="preserve">WT1 / WT2</t>
  </si>
  <si>
    <t xml:space="preserve">GRESB water indicators - total withdrawals/inflows (WT1) and discharge to sensitive waterways (WT2).</t>
  </si>
  <si>
    <t xml:space="preserve">WS1</t>
  </si>
  <si>
    <t xml:space="preserve">GRESB waste indicator - diversion/recycling rate.</t>
  </si>
  <si>
    <t xml:space="preserve">BC1.1 / BC1.2 / BC2</t>
  </si>
  <si>
    <t xml:space="preserve">GRESB building certification indicators - design/construction, operational, and ongoing certification status.</t>
  </si>
  <si>
    <t xml:space="preserve">% of floor area / consumption with verified data for that asset. Portfolio rollup should be floor-area-weighted.</t>
  </si>
  <si>
    <t xml:space="preserve">Verified = utility API/submeter feed. Estimated = derived or interpolated. Missing = no reliable data source.</t>
  </si>
  <si>
    <t xml:space="preserve">Aggregation method</t>
  </si>
  <si>
    <t xml:space="preserve">Sum</t>
  </si>
  <si>
    <t xml:space="preserve">Floor area, EN1, GH1, WT1/WT2 - additive totals across the portfolio.</t>
  </si>
  <si>
    <t xml:space="preserve">Floor-area-weighted average</t>
  </si>
  <si>
    <t xml:space="preserve">EUI, Waste Diversion Rate, Data Coverage, ENERGY STAR Score - must be weighted, not simple-averaged, so larger buildings are represented proportionally.</t>
  </si>
  <si>
    <t xml:space="preserve">Data notes</t>
  </si>
  <si>
    <t xml:space="preserve">Coverage</t>
  </si>
  <si>
    <t xml:space="preserve">All data in this workbook is fabricated for prototyping and does not represent real buildings, addresses, or performance.</t>
  </si>
  <si>
    <t xml:space="preserve">Grid factor</t>
  </si>
  <si>
    <t xml:space="preserve">GH1 Scope 2 (location-based) uses an illustrative NY grid emission factor of 0.00018 mtCO2e/kWh (see 'Assumptions' block, cells AF1:AG4, on the Asset-Level Data sheet). Not sourced from eGRID; replace with the correct NYUP/NYCW subregion factor before using for real reporting.</t>
  </si>
  <si>
    <t xml:space="preserve">Management (Entity-Level) tab</t>
  </si>
  <si>
    <t xml:space="preserve">Structure</t>
  </si>
  <si>
    <t xml:space="preserve">Management indicators are answered once per reporting entity, not per building - this tab has one row per indicator, not one row per asset. Fabricated for prototyping.</t>
  </si>
  <si>
    <t xml:space="preserve">Aspects</t>
  </si>
  <si>
    <t xml:space="preserve">Leadership, Policies, Reporting, Risk Management, Stakeholder Engagement - mirrors the 2026 GRESB Real Estate Management Component structure.</t>
  </si>
  <si>
    <t xml:space="preserve">Baseline &amp; Targets tab</t>
  </si>
  <si>
    <t xml:space="preserve">Long format: one row per asset per Performance metric (6 metrics x 25 assets = 150 rows). Current Value is formula-linked to the Asset-Level Data tab; Baseline Value is fabricated; Target Value is either a formula-derived reduction from baseline (GHG, EUI, Water) or a fixed portfolio-wide goal (Waste Diversion, ENERGY STAR, Data Coverage) - see the Assumptions block, columns P:Q, on the Baseline &amp; Targets sheet.</t>
  </si>
  <si>
    <t xml:space="preserve">Status thresholds</t>
  </si>
  <si>
    <t xml:space="preserve">Target Met (&gt;=100% progress), On Track (&gt;=75%), At Risk (&gt;=40%), Off Track (&lt;40%). Progress can exceed 100% (asset has surpassed its target) or go negative (asset has moved further from baseline).</t>
  </si>
  <si>
    <t xml:space="preserve">Data fix - 2026-08-07</t>
  </si>
  <si>
    <t xml:space="preserve">Target Value bug</t>
  </si>
  <si>
    <t xml:space="preserve">Fixed-goal Target Value formulas for Waste Diversion, ENERGY STAR Score, and Data Coverage referenced the wrong assumption cell (off by one row), causing every asset to show the same Status for these three metrics. Formulas now correctly reference Q7/Q8/Q9. Data Coverage fixed target was also revised from 1.00 (100%) to 0.75 (75%) per updated data modeling.</t>
  </si>
  <si>
    <t xml:space="preserve">Compliance Exposure (LL97) tab</t>
  </si>
  <si>
    <t xml:space="preserve">One row per asset. Models NYC Local Law 97 emissions-cap exposure for the current (2024-2029) and next (2030-2034) compliance periods, plus Local Law 84 annual benchmarking filing status. Emissions limits by property type are in a lookup table (columns U:W) and are illustrative approximations, not the real NYC DOB occupancy-group limit tables - replace before using for real compliance decisions. Penalty rate ($268/mtCO2e over cap) and non-filing penalty rate ($0.50/sq ft/month) are documented assumption constants.</t>
  </si>
  <si>
    <t xml:space="preserve">Compliance Status logic</t>
  </si>
  <si>
    <t xml:space="preserve">Compliant = at or under the applicable cap. At Risk = over cap by 10% or less. Non-Compliant = over cap by more than 10%. The 2030-2034 status is a forward projection assuming current emissions hold constant - it does not account for any reduction work already underway.</t>
  </si>
  <si>
    <t xml:space="preserve">Number of Floors (Asset-Level Data)</t>
  </si>
  <si>
    <t xml:space="preserve">Story count per building, added to the Asset-Level Data tab (column AD). Fabricated illustrative data, skewed toward 1-2 floors consistent with industrial building stock; multi-story values are more common for Manufacturing and Flex Industrial property types.</t>
  </si>
  <si>
    <t xml:space="preserve">Portfolio expansion - 2026-08-07</t>
  </si>
  <si>
    <t xml:space="preserve">5 mixed-use assets added</t>
  </si>
  <si>
    <t xml:space="preserve">Added NY-026 through NY-030: Mixed-Use Residential/Commercial properties (8-25 floors, 150,000-450,000 sq ft), reflecting a higher-density, higher-rise building type distinct from the original 25 single-story/low-rise industrial assets. Portfolio is now 30 assets total. Baseline &amp; Targets and Compliance Exposure (LL97) sheets were rebuilt to cover all 30 assets; original 25 assets' fabricated baseline values, filing status, and other-law fields were preserved exactly, not regenerated.</t>
  </si>
  <si>
    <t xml:space="preserve">ENERGY STAR / certification caveat</t>
  </si>
  <si>
    <t xml:space="preserve">Real ENERGY STAR scoring uses different methodologies for multifamily housing vs. office vs. industrial space, and a true mixed-use building would be scored per space type, not as one blended figure. This workbook uses a single illustrative score/certification per asset for all property types, consistent with how the original industrial data was simplified.</t>
  </si>
</sst>
</file>

<file path=xl/styles.xml><?xml version="1.0" encoding="utf-8"?>
<styleSheet xmlns="http://schemas.openxmlformats.org/spreadsheetml/2006/main">
  <numFmts count="11">
    <numFmt numFmtId="164" formatCode="General"/>
    <numFmt numFmtId="165" formatCode="0"/>
    <numFmt numFmtId="166" formatCode="0.0000"/>
    <numFmt numFmtId="167" formatCode="#,##0"/>
    <numFmt numFmtId="168" formatCode="0.00"/>
    <numFmt numFmtId="169" formatCode="0.0%"/>
    <numFmt numFmtId="170" formatCode="0.0"/>
    <numFmt numFmtId="171" formatCode="#,##0.00"/>
    <numFmt numFmtId="172" formatCode="#,##0.0"/>
    <numFmt numFmtId="173" formatCode="\$#,##0"/>
    <numFmt numFmtId="174" formatCode="yyyy\-mm\-dd"/>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name val="Arial"/>
      <family val="0"/>
      <charset val="1"/>
    </font>
    <font>
      <sz val="10"/>
      <name val="Arial"/>
      <family val="0"/>
      <charset val="1"/>
    </font>
    <font>
      <sz val="9"/>
      <name val="Arial"/>
      <family val="0"/>
      <charset val="1"/>
    </font>
    <font>
      <sz val="9"/>
      <color rgb="FF0000FF"/>
      <name val="Arial"/>
      <family val="0"/>
      <charset val="1"/>
    </font>
    <font>
      <i val="true"/>
      <sz val="9"/>
      <name val="Arial"/>
      <family val="0"/>
      <charset val="1"/>
    </font>
    <font>
      <b val="true"/>
      <sz val="10"/>
      <name val="Arial"/>
      <family val="0"/>
      <charset val="1"/>
    </font>
    <font>
      <i val="true"/>
      <sz val="10"/>
      <name val="Arial"/>
      <family val="0"/>
      <charset val="1"/>
    </font>
  </fonts>
  <fills count="8">
    <fill>
      <patternFill patternType="none"/>
    </fill>
    <fill>
      <patternFill patternType="gray125"/>
    </fill>
    <fill>
      <patternFill patternType="solid">
        <fgColor rgb="FF1F2937"/>
        <bgColor rgb="FF333300"/>
      </patternFill>
    </fill>
    <fill>
      <patternFill patternType="solid">
        <fgColor rgb="FFEEEDFE"/>
        <bgColor rgb="FFFBEAF0"/>
      </patternFill>
    </fill>
    <fill>
      <patternFill patternType="solid">
        <fgColor rgb="FFE1F5EE"/>
        <bgColor rgb="FFEEEDFE"/>
      </patternFill>
    </fill>
    <fill>
      <patternFill patternType="solid">
        <fgColor rgb="FFFAECE7"/>
        <bgColor rgb="FFFBEAF0"/>
      </patternFill>
    </fill>
    <fill>
      <patternFill patternType="solid">
        <fgColor rgb="FFFBEAF0"/>
        <bgColor rgb="FFFAECE7"/>
      </patternFill>
    </fill>
    <fill>
      <patternFill patternType="solid">
        <fgColor rgb="FFFAEEDA"/>
        <bgColor rgb="FFFAECE7"/>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doubl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67" fontId="6" fillId="0" borderId="1" xfId="0" applyFont="true" applyBorder="true" applyAlignment="true" applyProtection="false">
      <alignment horizontal="general" vertical="center" textRotation="0" wrapText="false" indent="0" shrinkToFit="false"/>
      <protection locked="true" hidden="false"/>
    </xf>
    <xf numFmtId="168" fontId="6" fillId="0" borderId="1" xfId="0" applyFont="true" applyBorder="true" applyAlignment="true" applyProtection="false">
      <alignment horizontal="general" vertical="center" textRotation="0" wrapText="false" indent="0" shrinkToFit="false"/>
      <protection locked="true" hidden="false"/>
    </xf>
    <xf numFmtId="169" fontId="6"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70" fontId="10" fillId="0" borderId="2" xfId="0" applyFont="true" applyBorder="true" applyAlignment="true" applyProtection="false">
      <alignment horizontal="general" vertical="bottom" textRotation="0" wrapText="false" indent="0" shrinkToFit="false"/>
      <protection locked="true" hidden="false"/>
    </xf>
    <xf numFmtId="167" fontId="10" fillId="0" borderId="2" xfId="0" applyFont="true" applyBorder="true" applyAlignment="true" applyProtection="false">
      <alignment horizontal="general" vertical="bottom" textRotation="0" wrapText="false" indent="0" shrinkToFit="false"/>
      <protection locked="true" hidden="false"/>
    </xf>
    <xf numFmtId="168" fontId="10" fillId="0" borderId="2" xfId="0" applyFont="true" applyBorder="true" applyAlignment="true" applyProtection="false">
      <alignment horizontal="general" vertical="bottom" textRotation="0" wrapText="false" indent="0" shrinkToFit="false"/>
      <protection locked="true" hidden="false"/>
    </xf>
    <xf numFmtId="169" fontId="10" fillId="0" borderId="2" xfId="0" applyFont="true" applyBorder="true" applyAlignment="tru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6" fillId="0" borderId="1"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72" fontId="6" fillId="0" borderId="1" xfId="0" applyFont="true" applyBorder="true" applyAlignment="true" applyProtection="false">
      <alignment horizontal="general" vertical="center" textRotation="0" wrapText="false" indent="0" shrinkToFit="false"/>
      <protection locked="true" hidden="false"/>
    </xf>
    <xf numFmtId="173" fontId="6" fillId="0" borderId="1" xfId="0" applyFont="true" applyBorder="true" applyAlignment="true" applyProtection="false">
      <alignment horizontal="general" vertical="center" textRotation="0" wrapText="false" indent="0" shrinkToFit="false"/>
      <protection locked="true" hidden="false"/>
    </xf>
    <xf numFmtId="174"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73" fontId="10"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9"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E1F5EE"/>
          <bgColor rgb="FF000000"/>
        </patternFill>
      </fill>
    </dxf>
    <dxf>
      <fill>
        <patternFill patternType="solid">
          <fgColor rgb="FFFBE2E5"/>
          <bgColor rgb="FF000000"/>
        </patternFill>
      </fill>
    </dxf>
    <dxf>
      <fill>
        <patternFill patternType="solid">
          <fgColor rgb="FFFCE8D9"/>
          <bgColor rgb="FF000000"/>
        </patternFill>
      </fill>
    </dxf>
    <dxf>
      <fill>
        <patternFill>
          <bgColor rgb="FFD9EAD3"/>
        </patternFill>
      </fill>
    </dxf>
    <dxf>
      <fill>
        <patternFill>
          <bgColor rgb="FFE1F5EE"/>
        </patternFill>
      </fill>
    </dxf>
    <dxf>
      <fill>
        <patternFill>
          <bgColor rgb="FFFCE8D9"/>
        </patternFill>
      </fill>
    </dxf>
    <dxf>
      <fill>
        <patternFill>
          <bgColor rgb="FFFBE2E5"/>
        </patternFill>
      </fill>
    </dxf>
    <dxf>
      <fill>
        <patternFill patternType="solid">
          <fgColor rgb="FFEEEDFE"/>
          <bgColor rgb="FF000000"/>
        </patternFill>
      </fill>
    </dxf>
    <dxf>
      <fill>
        <patternFill patternType="solid">
          <fgColor rgb="FFFAECE7"/>
          <bgColor rgb="FF000000"/>
        </patternFill>
      </fill>
    </dxf>
    <dxf>
      <fill>
        <patternFill patternType="solid">
          <fgColor rgb="FFFAEEDA"/>
          <bgColor rgb="FF000000"/>
        </patternFill>
      </fill>
    </dxf>
    <dxf>
      <fill>
        <patternFill patternType="solid">
          <fgColor rgb="FFFBEAF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AECE7"/>
      <rgbColor rgb="FF808080"/>
      <rgbColor rgb="FF9999FF"/>
      <rgbColor rgb="FF993366"/>
      <rgbColor rgb="FFFAEEDA"/>
      <rgbColor rgb="FFE1F5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EDFE"/>
      <rgbColor rgb="FFD9EAD3"/>
      <rgbColor rgb="FFFCE8D9"/>
      <rgbColor rgb="FFFBEAF0"/>
      <rgbColor rgb="FFFF99CC"/>
      <rgbColor rgb="FFCC99FF"/>
      <rgbColor rgb="FFFBE2E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12"/>
    <col collapsed="false" customWidth="true" hidden="false" outlineLevel="0" max="4" min="4" style="1" width="20"/>
    <col collapsed="false" customWidth="true" hidden="false" outlineLevel="0" max="5" min="5" style="1" width="15"/>
    <col collapsed="false" customWidth="true" hidden="false" outlineLevel="0" max="6" min="6" style="1" width="6"/>
    <col collapsed="false" customWidth="true" hidden="false" outlineLevel="0" max="7" min="7" style="1" width="9"/>
    <col collapsed="false" customWidth="true" hidden="false" outlineLevel="0" max="9" min="8" style="1" width="10"/>
    <col collapsed="false" customWidth="true" hidden="false" outlineLevel="0" max="10" min="10" style="1" width="20"/>
    <col collapsed="false" customWidth="true" hidden="false" outlineLevel="0" max="11" min="11" style="1" width="13"/>
    <col collapsed="false" customWidth="true" hidden="false" outlineLevel="0" max="13" min="12" style="1" width="14"/>
    <col collapsed="false" customWidth="true" hidden="false" outlineLevel="0" max="14" min="14" style="1" width="13"/>
    <col collapsed="false" customWidth="true" hidden="false" outlineLevel="0" max="15" min="15" style="1" width="11"/>
    <col collapsed="false" customWidth="true" hidden="false" outlineLevel="0" max="16" min="16" style="1" width="13"/>
    <col collapsed="false" customWidth="true" hidden="false" outlineLevel="0" max="18" min="17" style="1" width="14"/>
    <col collapsed="false" customWidth="true" hidden="false" outlineLevel="0" max="19" min="19" style="1" width="13"/>
    <col collapsed="false" customWidth="true" hidden="false" outlineLevel="0" max="21" min="20" style="1" width="14"/>
    <col collapsed="false" customWidth="true" hidden="false" outlineLevel="0" max="22" min="22" style="1" width="12"/>
    <col collapsed="false" customWidth="true" hidden="false" outlineLevel="0" max="25" min="23" style="1" width="20"/>
    <col collapsed="false" customWidth="true" hidden="false" outlineLevel="0" max="28" min="26" style="1" width="12"/>
    <col collapsed="false" customWidth="true" hidden="false" outlineLevel="0" max="29" min="29" style="1" width="22"/>
    <col collapsed="false" customWidth="true" hidden="false" outlineLevel="0" max="30" min="30" style="1" width="12"/>
    <col collapsed="false" customWidth="true" hidden="false" outlineLevel="0" max="31" min="31" style="1" width="18"/>
    <col collapsed="false" customWidth="true" hidden="false" outlineLevel="0" max="32" min="32" style="1" width="34"/>
    <col collapsed="false" customWidth="true" hidden="false" outlineLevel="0" max="33" min="33" style="1" width="14"/>
  </cols>
  <sheetData>
    <row r="1" customFormat="false" ht="42"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inlineStr">
        <is>
          <t>12-Month Whole-Building Data Complete</t>
        </is>
      </c>
      <c r="AF1" s="3" t="s">
        <v>30</v>
      </c>
    </row>
    <row r="2" customFormat="false" ht="21.75" hidden="false" customHeight="true" outlineLevel="0" collapsed="false">
      <c r="A2" s="4" t="s">
        <v>31</v>
      </c>
      <c r="B2" s="4" t="s">
        <v>32</v>
      </c>
      <c r="C2" s="5" t="n">
        <v>3</v>
      </c>
      <c r="D2" s="4" t="s">
        <v>33</v>
      </c>
      <c r="E2" s="4" t="s">
        <v>34</v>
      </c>
      <c r="F2" s="4" t="s">
        <v>35</v>
      </c>
      <c r="G2" s="4" t="s">
        <v>36</v>
      </c>
      <c r="H2" s="6" t="n">
        <v>40.81773</v>
      </c>
      <c r="I2" s="6" t="n">
        <v>-73.8868</v>
      </c>
      <c r="J2" s="4" t="s">
        <v>37</v>
      </c>
      <c r="K2" s="7" t="n">
        <v>80000</v>
      </c>
      <c r="L2" s="7" t="n">
        <v>796282</v>
      </c>
      <c r="M2" s="7" t="n">
        <v>102624</v>
      </c>
      <c r="N2" s="7" t="n">
        <v>27052</v>
      </c>
      <c r="O2" s="8" t="n">
        <f aca="false">L2/K2</f>
        <v>9.953525</v>
      </c>
      <c r="P2" s="7" t="n">
        <v>383.8</v>
      </c>
      <c r="Q2" s="7" t="n">
        <f aca="false">L2*$AG$3</f>
        <v>143.33076</v>
      </c>
      <c r="R2" s="7" t="n">
        <v>129.5</v>
      </c>
      <c r="S2" s="7" t="n">
        <v>17444.1</v>
      </c>
      <c r="T2" s="7" t="n">
        <v>1980000</v>
      </c>
      <c r="U2" s="7" t="n">
        <v>19186</v>
      </c>
      <c r="V2" s="9" t="n">
        <v>0.539</v>
      </c>
      <c r="W2" s="4" t="s">
        <v>38</v>
      </c>
      <c r="X2" s="4" t="s">
        <v>39</v>
      </c>
      <c r="Y2" s="4" t="s">
        <v>39</v>
      </c>
      <c r="Z2" s="9" t="n">
        <v>0.815</v>
      </c>
      <c r="AA2" s="10" t="n">
        <v>89</v>
      </c>
      <c r="AB2" s="4" t="s">
        <v>40</v>
      </c>
      <c r="AC2" s="4" t="s">
        <v>41</v>
      </c>
      <c r="AD2" s="4" t="s">
        <v>42</v>
      </c>
      <c r="AE2" s="4" t="inlineStr">
        <is>
          <t>Y</t>
        </is>
      </c>
      <c r="AF2" s="11" t="s">
        <v>43</v>
      </c>
      <c r="AG2" s="11"/>
    </row>
    <row r="3" customFormat="false" ht="15" hidden="false" customHeight="true" outlineLevel="0" collapsed="false">
      <c r="A3" s="4" t="s">
        <v>44</v>
      </c>
      <c r="B3" s="4" t="s">
        <v>45</v>
      </c>
      <c r="C3" s="5" t="n">
        <v>1</v>
      </c>
      <c r="D3" s="4" t="s">
        <v>46</v>
      </c>
      <c r="E3" s="4" t="s">
        <v>47</v>
      </c>
      <c r="F3" s="4" t="s">
        <v>35</v>
      </c>
      <c r="G3" s="4" t="s">
        <v>48</v>
      </c>
      <c r="H3" s="6" t="n">
        <v>40.69191</v>
      </c>
      <c r="I3" s="6" t="n">
        <v>-73.96266</v>
      </c>
      <c r="J3" s="4" t="s">
        <v>49</v>
      </c>
      <c r="K3" s="7" t="n">
        <v>339000</v>
      </c>
      <c r="L3" s="7" t="n">
        <v>4309477</v>
      </c>
      <c r="M3" s="7" t="n">
        <v>222394</v>
      </c>
      <c r="N3" s="7" t="n">
        <v>78782</v>
      </c>
      <c r="O3" s="8" t="n">
        <f aca="false">L3/K3</f>
        <v>12.7123215339233</v>
      </c>
      <c r="P3" s="7" t="n">
        <v>48.4</v>
      </c>
      <c r="Q3" s="7" t="n">
        <f aca="false">L3*$AG$3</f>
        <v>775.70586</v>
      </c>
      <c r="R3" s="7" t="n">
        <v>732.4</v>
      </c>
      <c r="S3" s="7" t="n">
        <v>274875.3</v>
      </c>
      <c r="T3" s="7" t="n">
        <v>1950469</v>
      </c>
      <c r="U3" s="7" t="n">
        <v>0</v>
      </c>
      <c r="V3" s="9" t="n">
        <v>0.422</v>
      </c>
      <c r="W3" s="4" t="s">
        <v>39</v>
      </c>
      <c r="X3" s="4" t="s">
        <v>50</v>
      </c>
      <c r="Y3" s="4" t="s">
        <v>39</v>
      </c>
      <c r="Z3" s="9" t="n">
        <v>0.637</v>
      </c>
      <c r="AA3" s="10" t="n">
        <v>42</v>
      </c>
      <c r="AB3" s="4" t="s">
        <v>51</v>
      </c>
      <c r="AC3" s="4" t="s">
        <v>41</v>
      </c>
      <c r="AD3" s="4" t="s">
        <v>52</v>
      </c>
      <c r="AE3" s="4" t="inlineStr">
        <is>
          <t>Y</t>
        </is>
      </c>
      <c r="AF3" s="12" t="s">
        <v>53</v>
      </c>
      <c r="AG3" s="13" t="n">
        <v>0.00018</v>
      </c>
    </row>
    <row r="4" customFormat="false" ht="21.75" hidden="false" customHeight="true" outlineLevel="0" collapsed="false">
      <c r="A4" s="4" t="s">
        <v>54</v>
      </c>
      <c r="B4" s="4" t="s">
        <v>55</v>
      </c>
      <c r="C4" s="5" t="n">
        <v>1</v>
      </c>
      <c r="D4" s="4" t="s">
        <v>56</v>
      </c>
      <c r="E4" s="4" t="s">
        <v>57</v>
      </c>
      <c r="F4" s="4" t="s">
        <v>35</v>
      </c>
      <c r="G4" s="4" t="s">
        <v>58</v>
      </c>
      <c r="H4" s="6" t="n">
        <v>40.75203</v>
      </c>
      <c r="I4" s="6" t="n">
        <v>-73.9509</v>
      </c>
      <c r="J4" s="4" t="s">
        <v>59</v>
      </c>
      <c r="K4" s="7" t="n">
        <v>293000</v>
      </c>
      <c r="L4" s="7" t="n">
        <v>4203889</v>
      </c>
      <c r="M4" s="7" t="n">
        <v>0</v>
      </c>
      <c r="N4" s="7" t="n">
        <v>0</v>
      </c>
      <c r="O4" s="8" t="n">
        <f aca="false">L4/K4</f>
        <v>14.3477440273038</v>
      </c>
      <c r="P4" s="7" t="n">
        <v>230.9</v>
      </c>
      <c r="Q4" s="7" t="n">
        <f aca="false">L4*$AG$3</f>
        <v>756.70002</v>
      </c>
      <c r="R4" s="7" t="n">
        <v>735.4</v>
      </c>
      <c r="S4" s="7" t="n">
        <v>253118.3</v>
      </c>
      <c r="T4" s="7" t="n">
        <v>2025433</v>
      </c>
      <c r="U4" s="7" t="n">
        <v>0</v>
      </c>
      <c r="V4" s="9" t="n">
        <v>0.226</v>
      </c>
      <c r="W4" s="4" t="s">
        <v>39</v>
      </c>
      <c r="X4" s="4" t="s">
        <v>39</v>
      </c>
      <c r="Y4" s="4" t="s">
        <v>39</v>
      </c>
      <c r="Z4" s="9" t="n">
        <v>0.758</v>
      </c>
      <c r="AA4" s="10" t="n">
        <v>55</v>
      </c>
      <c r="AB4" s="4" t="s">
        <v>60</v>
      </c>
      <c r="AC4" s="4" t="s">
        <v>41</v>
      </c>
      <c r="AD4" s="4" t="s">
        <v>61</v>
      </c>
      <c r="AE4" s="4" t="inlineStr">
        <is>
          <t>N</t>
        </is>
      </c>
      <c r="AF4" s="14" t="s">
        <v>62</v>
      </c>
      <c r="AG4" s="14"/>
    </row>
    <row r="5" customFormat="false" ht="15" hidden="false" customHeight="true" outlineLevel="0" collapsed="false">
      <c r="A5" s="4" t="s">
        <v>63</v>
      </c>
      <c r="B5" s="4" t="s">
        <v>64</v>
      </c>
      <c r="C5" s="5" t="n">
        <v>1</v>
      </c>
      <c r="D5" s="4" t="s">
        <v>65</v>
      </c>
      <c r="E5" s="4" t="s">
        <v>66</v>
      </c>
      <c r="F5" s="4" t="s">
        <v>35</v>
      </c>
      <c r="G5" s="4" t="s">
        <v>67</v>
      </c>
      <c r="H5" s="6" t="n">
        <v>40.60714</v>
      </c>
      <c r="I5" s="6" t="n">
        <v>-74.112</v>
      </c>
      <c r="J5" s="4" t="s">
        <v>68</v>
      </c>
      <c r="K5" s="7" t="n">
        <v>289000</v>
      </c>
      <c r="L5" s="7" t="n">
        <v>3935112</v>
      </c>
      <c r="M5" s="7" t="n">
        <v>588599</v>
      </c>
      <c r="N5" s="7" t="n">
        <v>159012</v>
      </c>
      <c r="O5" s="8" t="n">
        <f aca="false">L5/K5</f>
        <v>13.6163044982699</v>
      </c>
      <c r="P5" s="7" t="n">
        <v>12.8</v>
      </c>
      <c r="Q5" s="7" t="n">
        <f aca="false">L5*$AG$3</f>
        <v>708.32016</v>
      </c>
      <c r="R5" s="7" t="n">
        <v>703.5</v>
      </c>
      <c r="S5" s="7" t="n">
        <v>196574.1</v>
      </c>
      <c r="T5" s="7" t="n">
        <v>3089988</v>
      </c>
      <c r="U5" s="7" t="n">
        <v>0</v>
      </c>
      <c r="V5" s="9" t="n">
        <v>0.271</v>
      </c>
      <c r="W5" s="4" t="s">
        <v>39</v>
      </c>
      <c r="X5" s="4" t="s">
        <v>39</v>
      </c>
      <c r="Y5" s="4" t="s">
        <v>69</v>
      </c>
      <c r="Z5" s="9" t="n">
        <v>0.803</v>
      </c>
      <c r="AA5" s="10" t="n">
        <v>54</v>
      </c>
      <c r="AB5" s="4" t="s">
        <v>40</v>
      </c>
      <c r="AC5" s="4" t="s">
        <v>70</v>
      </c>
      <c r="AD5" s="4" t="s">
        <v>71</v>
      </c>
      <c r="AE5" s="4" t="inlineStr">
        <is>
          <t>Y</t>
        </is>
      </c>
    </row>
    <row r="6" customFormat="false" ht="15" hidden="false" customHeight="true" outlineLevel="0" collapsed="false">
      <c r="A6" s="4" t="s">
        <v>72</v>
      </c>
      <c r="B6" s="4" t="s">
        <v>73</v>
      </c>
      <c r="C6" s="5" t="n">
        <v>1</v>
      </c>
      <c r="D6" s="4" t="s">
        <v>74</v>
      </c>
      <c r="E6" s="4" t="s">
        <v>75</v>
      </c>
      <c r="F6" s="4" t="s">
        <v>35</v>
      </c>
      <c r="G6" s="4" t="s">
        <v>76</v>
      </c>
      <c r="H6" s="6" t="n">
        <v>40.94115</v>
      </c>
      <c r="I6" s="6" t="n">
        <v>-73.90593</v>
      </c>
      <c r="J6" s="4" t="s">
        <v>77</v>
      </c>
      <c r="K6" s="7" t="n">
        <v>279000</v>
      </c>
      <c r="L6" s="7" t="n">
        <v>4159672</v>
      </c>
      <c r="M6" s="7" t="n">
        <v>0</v>
      </c>
      <c r="N6" s="7" t="n">
        <v>0</v>
      </c>
      <c r="O6" s="8" t="n">
        <f aca="false">L6/K6</f>
        <v>14.9092186379928</v>
      </c>
      <c r="P6" s="7" t="n">
        <v>9.2</v>
      </c>
      <c r="Q6" s="7" t="n">
        <f aca="false">L6*$AG$3</f>
        <v>748.74096</v>
      </c>
      <c r="R6" s="7" t="n">
        <v>626.7</v>
      </c>
      <c r="S6" s="7" t="n">
        <v>123121.8</v>
      </c>
      <c r="T6" s="7" t="n">
        <v>2757078</v>
      </c>
      <c r="U6" s="7" t="n">
        <v>0</v>
      </c>
      <c r="V6" s="9" t="n">
        <v>0.426</v>
      </c>
      <c r="W6" s="4" t="s">
        <v>78</v>
      </c>
      <c r="X6" s="4" t="s">
        <v>79</v>
      </c>
      <c r="Y6" s="4" t="s">
        <v>39</v>
      </c>
      <c r="Z6" s="9" t="n">
        <v>0.937</v>
      </c>
      <c r="AA6" s="10" t="n">
        <v>38</v>
      </c>
      <c r="AB6" s="4" t="s">
        <v>40</v>
      </c>
      <c r="AC6" s="4" t="s">
        <v>80</v>
      </c>
      <c r="AD6" s="4" t="s">
        <v>81</v>
      </c>
      <c r="AE6" s="4" t="inlineStr">
        <is>
          <t>N</t>
        </is>
      </c>
    </row>
    <row r="7" customFormat="false" ht="15" hidden="false" customHeight="true" outlineLevel="0" collapsed="false">
      <c r="A7" s="4" t="s">
        <v>82</v>
      </c>
      <c r="B7" s="4" t="s">
        <v>83</v>
      </c>
      <c r="C7" s="5" t="n">
        <v>1</v>
      </c>
      <c r="D7" s="4" t="s">
        <v>84</v>
      </c>
      <c r="E7" s="4" t="s">
        <v>85</v>
      </c>
      <c r="F7" s="4" t="s">
        <v>35</v>
      </c>
      <c r="G7" s="4" t="s">
        <v>86</v>
      </c>
      <c r="H7" s="6" t="n">
        <v>40.9083</v>
      </c>
      <c r="I7" s="6" t="n">
        <v>-73.78643</v>
      </c>
      <c r="J7" s="4" t="s">
        <v>87</v>
      </c>
      <c r="K7" s="7" t="n">
        <v>711000</v>
      </c>
      <c r="L7" s="7" t="n">
        <v>7262302</v>
      </c>
      <c r="M7" s="7" t="n">
        <v>919778</v>
      </c>
      <c r="N7" s="7" t="n">
        <v>290561</v>
      </c>
      <c r="O7" s="8" t="n">
        <f aca="false">L7/K7</f>
        <v>10.2142081575246</v>
      </c>
      <c r="P7" s="7" t="n">
        <v>45.7</v>
      </c>
      <c r="Q7" s="7" t="n">
        <f aca="false">L7*$AG$3</f>
        <v>1307.21436</v>
      </c>
      <c r="R7" s="7" t="n">
        <v>1264.6</v>
      </c>
      <c r="S7" s="7" t="n">
        <v>366462.3</v>
      </c>
      <c r="T7" s="7" t="n">
        <v>1951606</v>
      </c>
      <c r="U7" s="7" t="n">
        <v>0</v>
      </c>
      <c r="V7" s="9" t="n">
        <v>0.719</v>
      </c>
      <c r="W7" s="4" t="s">
        <v>39</v>
      </c>
      <c r="X7" s="4" t="s">
        <v>39</v>
      </c>
      <c r="Y7" s="4" t="s">
        <v>39</v>
      </c>
      <c r="Z7" s="9" t="n">
        <v>0.893</v>
      </c>
      <c r="AA7" s="10" t="n">
        <v>72</v>
      </c>
      <c r="AB7" s="4" t="s">
        <v>60</v>
      </c>
      <c r="AC7" s="4" t="s">
        <v>80</v>
      </c>
      <c r="AD7" s="4" t="s">
        <v>88</v>
      </c>
      <c r="AE7" s="4" t="inlineStr">
        <is>
          <t>Y</t>
        </is>
      </c>
    </row>
    <row r="8" customFormat="false" ht="15" hidden="false" customHeight="true" outlineLevel="0" collapsed="false">
      <c r="A8" s="4" t="s">
        <v>89</v>
      </c>
      <c r="B8" s="4" t="s">
        <v>90</v>
      </c>
      <c r="C8" s="5" t="n">
        <v>2</v>
      </c>
      <c r="D8" s="4" t="s">
        <v>91</v>
      </c>
      <c r="E8" s="4" t="s">
        <v>92</v>
      </c>
      <c r="F8" s="4" t="s">
        <v>35</v>
      </c>
      <c r="G8" s="4" t="s">
        <v>93</v>
      </c>
      <c r="H8" s="6" t="n">
        <v>40.90484</v>
      </c>
      <c r="I8" s="6" t="n">
        <v>-73.83984</v>
      </c>
      <c r="J8" s="4" t="s">
        <v>37</v>
      </c>
      <c r="K8" s="7" t="n">
        <v>74000</v>
      </c>
      <c r="L8" s="7" t="n">
        <v>1612792</v>
      </c>
      <c r="M8" s="7" t="n">
        <v>0</v>
      </c>
      <c r="N8" s="7" t="n">
        <v>0</v>
      </c>
      <c r="O8" s="8" t="n">
        <f aca="false">L8/K8</f>
        <v>21.7944864864865</v>
      </c>
      <c r="P8" s="7" t="n">
        <v>155.6</v>
      </c>
      <c r="Q8" s="7" t="n">
        <f aca="false">L8*$AG$3</f>
        <v>290.30256</v>
      </c>
      <c r="R8" s="7" t="n">
        <v>248.8</v>
      </c>
      <c r="S8" s="7" t="n">
        <v>55564.4</v>
      </c>
      <c r="T8" s="7" t="n">
        <v>1978020</v>
      </c>
      <c r="U8" s="7" t="n">
        <v>48513</v>
      </c>
      <c r="V8" s="9" t="n">
        <v>0.702</v>
      </c>
      <c r="W8" s="4" t="s">
        <v>39</v>
      </c>
      <c r="X8" s="4" t="s">
        <v>39</v>
      </c>
      <c r="Y8" s="4" t="s">
        <v>69</v>
      </c>
      <c r="Z8" s="9" t="n">
        <v>0.764</v>
      </c>
      <c r="AA8" s="10" t="n">
        <v>73</v>
      </c>
      <c r="AB8" s="4" t="s">
        <v>51</v>
      </c>
      <c r="AC8" s="4" t="s">
        <v>70</v>
      </c>
      <c r="AD8" s="4" t="s">
        <v>94</v>
      </c>
      <c r="AE8" s="4" t="inlineStr">
        <is>
          <t>Y</t>
        </is>
      </c>
    </row>
    <row r="9" customFormat="false" ht="15" hidden="false" customHeight="true" outlineLevel="0" collapsed="false">
      <c r="A9" s="4" t="s">
        <v>95</v>
      </c>
      <c r="B9" s="4" t="s">
        <v>96</v>
      </c>
      <c r="C9" s="5" t="n">
        <v>1</v>
      </c>
      <c r="D9" s="4" t="s">
        <v>97</v>
      </c>
      <c r="E9" s="4" t="s">
        <v>98</v>
      </c>
      <c r="F9" s="4" t="s">
        <v>35</v>
      </c>
      <c r="G9" s="4" t="s">
        <v>99</v>
      </c>
      <c r="H9" s="6" t="n">
        <v>41.06308</v>
      </c>
      <c r="I9" s="6" t="n">
        <v>-73.82307</v>
      </c>
      <c r="J9" s="4" t="s">
        <v>49</v>
      </c>
      <c r="K9" s="7" t="n">
        <v>374000</v>
      </c>
      <c r="L9" s="7" t="n">
        <v>4947229</v>
      </c>
      <c r="M9" s="7" t="n">
        <v>0</v>
      </c>
      <c r="N9" s="7" t="n">
        <v>0</v>
      </c>
      <c r="O9" s="8" t="n">
        <f aca="false">L9/K9</f>
        <v>13.227885026738</v>
      </c>
      <c r="P9" s="7" t="n">
        <v>14.9</v>
      </c>
      <c r="Q9" s="7" t="n">
        <f aca="false">L9*$AG$3</f>
        <v>890.50122</v>
      </c>
      <c r="R9" s="7" t="n">
        <v>785.5</v>
      </c>
      <c r="S9" s="7" t="n">
        <v>117949.6</v>
      </c>
      <c r="T9" s="7" t="n">
        <v>803067</v>
      </c>
      <c r="U9" s="7" t="n">
        <v>0</v>
      </c>
      <c r="V9" s="9" t="n">
        <v>0.557</v>
      </c>
      <c r="W9" s="4" t="s">
        <v>39</v>
      </c>
      <c r="X9" s="4" t="s">
        <v>39</v>
      </c>
      <c r="Y9" s="4" t="s">
        <v>69</v>
      </c>
      <c r="Z9" s="9" t="n">
        <v>0.834</v>
      </c>
      <c r="AA9" s="10" t="n">
        <v>52</v>
      </c>
      <c r="AB9" s="4" t="s">
        <v>51</v>
      </c>
      <c r="AC9" s="4" t="s">
        <v>80</v>
      </c>
      <c r="AD9" s="4" t="s">
        <v>100</v>
      </c>
      <c r="AE9" s="4" t="inlineStr">
        <is>
          <t>Y</t>
        </is>
      </c>
    </row>
    <row r="10" customFormat="false" ht="15" hidden="false" customHeight="true" outlineLevel="0" collapsed="false">
      <c r="A10" s="4" t="s">
        <v>101</v>
      </c>
      <c r="B10" s="4" t="s">
        <v>102</v>
      </c>
      <c r="C10" s="5" t="n">
        <v>2</v>
      </c>
      <c r="D10" s="4" t="s">
        <v>103</v>
      </c>
      <c r="E10" s="4" t="s">
        <v>104</v>
      </c>
      <c r="F10" s="4" t="s">
        <v>35</v>
      </c>
      <c r="G10" s="4" t="s">
        <v>105</v>
      </c>
      <c r="H10" s="6" t="n">
        <v>40.76316</v>
      </c>
      <c r="I10" s="6" t="n">
        <v>-73.52172</v>
      </c>
      <c r="J10" s="4" t="s">
        <v>59</v>
      </c>
      <c r="K10" s="7" t="n">
        <v>581000</v>
      </c>
      <c r="L10" s="7" t="n">
        <v>6390602</v>
      </c>
      <c r="M10" s="7" t="n">
        <v>973043</v>
      </c>
      <c r="N10" s="7" t="n">
        <v>263999</v>
      </c>
      <c r="O10" s="8" t="n">
        <f aca="false">L10/K10</f>
        <v>10.9993149741824</v>
      </c>
      <c r="P10" s="7" t="n">
        <v>47.1</v>
      </c>
      <c r="Q10" s="7" t="n">
        <f aca="false">L10*$AG$3</f>
        <v>1150.30836</v>
      </c>
      <c r="R10" s="7" t="n">
        <v>781.5</v>
      </c>
      <c r="S10" s="7" t="n">
        <v>437435.6</v>
      </c>
      <c r="T10" s="7" t="n">
        <v>1936397</v>
      </c>
      <c r="U10" s="7" t="n">
        <v>125202</v>
      </c>
      <c r="V10" s="9" t="n">
        <v>0.451</v>
      </c>
      <c r="W10" s="4" t="s">
        <v>78</v>
      </c>
      <c r="X10" s="4" t="s">
        <v>39</v>
      </c>
      <c r="Y10" s="4" t="s">
        <v>69</v>
      </c>
      <c r="Z10" s="9" t="n">
        <v>0.844</v>
      </c>
      <c r="AA10" s="10" t="n">
        <v>79</v>
      </c>
      <c r="AB10" s="4" t="s">
        <v>51</v>
      </c>
      <c r="AC10" s="4" t="s">
        <v>70</v>
      </c>
      <c r="AD10" s="4" t="s">
        <v>61</v>
      </c>
      <c r="AE10" s="4" t="inlineStr">
        <is>
          <t>Y</t>
        </is>
      </c>
    </row>
    <row r="11" customFormat="false" ht="15" hidden="false" customHeight="true" outlineLevel="0" collapsed="false">
      <c r="A11" s="4" t="s">
        <v>106</v>
      </c>
      <c r="B11" s="4" t="s">
        <v>107</v>
      </c>
      <c r="C11" s="5" t="n">
        <v>1</v>
      </c>
      <c r="D11" s="4" t="s">
        <v>108</v>
      </c>
      <c r="E11" s="4" t="s">
        <v>109</v>
      </c>
      <c r="F11" s="4" t="s">
        <v>35</v>
      </c>
      <c r="G11" s="4" t="s">
        <v>110</v>
      </c>
      <c r="H11" s="6" t="n">
        <v>40.71673</v>
      </c>
      <c r="I11" s="6" t="n">
        <v>-73.24467</v>
      </c>
      <c r="J11" s="4" t="s">
        <v>68</v>
      </c>
      <c r="K11" s="7" t="n">
        <v>309000</v>
      </c>
      <c r="L11" s="7" t="n">
        <v>3078428</v>
      </c>
      <c r="M11" s="7" t="n">
        <v>294037</v>
      </c>
      <c r="N11" s="7" t="n">
        <v>106543</v>
      </c>
      <c r="O11" s="8" t="n">
        <f aca="false">L11/K11</f>
        <v>9.9625501618123</v>
      </c>
      <c r="P11" s="7" t="n">
        <v>525.2</v>
      </c>
      <c r="Q11" s="7" t="n">
        <f aca="false">L11*$AG$3</f>
        <v>554.11704</v>
      </c>
      <c r="R11" s="7" t="n">
        <v>443.3</v>
      </c>
      <c r="S11" s="7" t="n">
        <v>219670.5</v>
      </c>
      <c r="T11" s="7" t="n">
        <v>829776</v>
      </c>
      <c r="U11" s="7" t="n">
        <v>0</v>
      </c>
      <c r="V11" s="9" t="n">
        <v>0.526</v>
      </c>
      <c r="W11" s="4" t="s">
        <v>39</v>
      </c>
      <c r="X11" s="4" t="s">
        <v>39</v>
      </c>
      <c r="Y11" s="4" t="s">
        <v>39</v>
      </c>
      <c r="Z11" s="9" t="n">
        <v>0.625</v>
      </c>
      <c r="AA11" s="10" t="n">
        <v>69</v>
      </c>
      <c r="AB11" s="4" t="s">
        <v>51</v>
      </c>
      <c r="AC11" s="4" t="s">
        <v>70</v>
      </c>
      <c r="AD11" s="4" t="s">
        <v>111</v>
      </c>
      <c r="AE11" s="4" t="inlineStr">
        <is>
          <t>Y</t>
        </is>
      </c>
    </row>
    <row r="12" customFormat="false" ht="15" hidden="false" customHeight="true" outlineLevel="0" collapsed="false">
      <c r="A12" s="4" t="s">
        <v>112</v>
      </c>
      <c r="B12" s="4" t="s">
        <v>113</v>
      </c>
      <c r="C12" s="5" t="n">
        <v>1</v>
      </c>
      <c r="D12" s="4" t="s">
        <v>114</v>
      </c>
      <c r="E12" s="4" t="s">
        <v>115</v>
      </c>
      <c r="F12" s="4" t="s">
        <v>35</v>
      </c>
      <c r="G12" s="4" t="s">
        <v>116</v>
      </c>
      <c r="H12" s="6" t="n">
        <v>40.83681</v>
      </c>
      <c r="I12" s="6" t="n">
        <v>-73.1306</v>
      </c>
      <c r="J12" s="4" t="s">
        <v>77</v>
      </c>
      <c r="K12" s="7" t="n">
        <v>57000</v>
      </c>
      <c r="L12" s="7" t="n">
        <v>1081688</v>
      </c>
      <c r="M12" s="7" t="n">
        <v>0</v>
      </c>
      <c r="N12" s="7" t="n">
        <v>0</v>
      </c>
      <c r="O12" s="8" t="n">
        <f aca="false">L12/K12</f>
        <v>18.9769824561404</v>
      </c>
      <c r="P12" s="7" t="n">
        <v>57.4</v>
      </c>
      <c r="Q12" s="7" t="n">
        <f aca="false">L12*$AG$3</f>
        <v>194.70384</v>
      </c>
      <c r="R12" s="7" t="n">
        <v>185.6</v>
      </c>
      <c r="S12" s="7" t="n">
        <v>86238</v>
      </c>
      <c r="T12" s="7" t="n">
        <v>335751</v>
      </c>
      <c r="U12" s="7" t="n">
        <v>0</v>
      </c>
      <c r="V12" s="9" t="n">
        <v>0.279</v>
      </c>
      <c r="W12" s="4" t="s">
        <v>39</v>
      </c>
      <c r="X12" s="4" t="s">
        <v>39</v>
      </c>
      <c r="Y12" s="4" t="s">
        <v>39</v>
      </c>
      <c r="Z12" s="9" t="n">
        <v>0.811</v>
      </c>
      <c r="AA12" s="10" t="n">
        <v>72</v>
      </c>
      <c r="AB12" s="4" t="s">
        <v>51</v>
      </c>
      <c r="AC12" s="4" t="s">
        <v>117</v>
      </c>
      <c r="AD12" s="4" t="s">
        <v>118</v>
      </c>
      <c r="AE12" s="4" t="inlineStr">
        <is>
          <t>Y</t>
        </is>
      </c>
    </row>
    <row r="13" customFormat="false" ht="15" hidden="false" customHeight="true" outlineLevel="0" collapsed="false">
      <c r="A13" s="4" t="s">
        <v>119</v>
      </c>
      <c r="B13" s="4" t="s">
        <v>120</v>
      </c>
      <c r="C13" s="5" t="n">
        <v>1</v>
      </c>
      <c r="D13" s="4" t="s">
        <v>121</v>
      </c>
      <c r="E13" s="4" t="s">
        <v>122</v>
      </c>
      <c r="F13" s="4" t="s">
        <v>35</v>
      </c>
      <c r="G13" s="4" t="s">
        <v>123</v>
      </c>
      <c r="H13" s="6" t="n">
        <v>40.73266</v>
      </c>
      <c r="I13" s="6" t="n">
        <v>-73.43915</v>
      </c>
      <c r="J13" s="4" t="s">
        <v>87</v>
      </c>
      <c r="K13" s="7" t="n">
        <v>543000</v>
      </c>
      <c r="L13" s="7" t="n">
        <v>5540803</v>
      </c>
      <c r="M13" s="7" t="n">
        <v>0</v>
      </c>
      <c r="N13" s="7" t="n">
        <v>0</v>
      </c>
      <c r="O13" s="8" t="n">
        <f aca="false">L13/K13</f>
        <v>10.2040570902394</v>
      </c>
      <c r="P13" s="7" t="n">
        <v>120.8</v>
      </c>
      <c r="Q13" s="7" t="n">
        <f aca="false">L13*$AG$3</f>
        <v>997.34454</v>
      </c>
      <c r="R13" s="7" t="n">
        <v>711.7</v>
      </c>
      <c r="S13" s="7" t="n">
        <v>308634.4</v>
      </c>
      <c r="T13" s="7" t="n">
        <v>4378752</v>
      </c>
      <c r="U13" s="7" t="n">
        <v>65682</v>
      </c>
      <c r="V13" s="9" t="n">
        <v>0.75</v>
      </c>
      <c r="W13" s="4" t="s">
        <v>39</v>
      </c>
      <c r="X13" s="4" t="s">
        <v>39</v>
      </c>
      <c r="Y13" s="4" t="s">
        <v>39</v>
      </c>
      <c r="Z13" s="9" t="n">
        <v>0.587</v>
      </c>
      <c r="AA13" s="10" t="n">
        <v>80</v>
      </c>
      <c r="AB13" s="4" t="s">
        <v>51</v>
      </c>
      <c r="AC13" s="4" t="s">
        <v>117</v>
      </c>
      <c r="AD13" s="4" t="s">
        <v>124</v>
      </c>
      <c r="AE13" s="4" t="inlineStr">
        <is>
          <t>Y</t>
        </is>
      </c>
    </row>
    <row r="14" customFormat="false" ht="15" hidden="false" customHeight="true" outlineLevel="0" collapsed="false">
      <c r="A14" s="4" t="s">
        <v>125</v>
      </c>
      <c r="B14" s="4" t="s">
        <v>126</v>
      </c>
      <c r="C14" s="5" t="n">
        <v>2</v>
      </c>
      <c r="D14" s="4" t="s">
        <v>127</v>
      </c>
      <c r="E14" s="4" t="s">
        <v>128</v>
      </c>
      <c r="F14" s="4" t="s">
        <v>35</v>
      </c>
      <c r="G14" s="4" t="s">
        <v>129</v>
      </c>
      <c r="H14" s="6" t="n">
        <v>40.78901</v>
      </c>
      <c r="I14" s="6" t="n">
        <v>-73.42358</v>
      </c>
      <c r="J14" s="4" t="s">
        <v>37</v>
      </c>
      <c r="K14" s="7" t="n">
        <v>299000</v>
      </c>
      <c r="L14" s="7" t="n">
        <v>5094066</v>
      </c>
      <c r="M14" s="7" t="n">
        <v>0</v>
      </c>
      <c r="N14" s="7" t="n">
        <v>0</v>
      </c>
      <c r="O14" s="8" t="n">
        <f aca="false">L14/K14</f>
        <v>17.0370100334448</v>
      </c>
      <c r="P14" s="7" t="n">
        <v>603.9</v>
      </c>
      <c r="Q14" s="7" t="n">
        <f aca="false">L14*$AG$3</f>
        <v>916.93188</v>
      </c>
      <c r="R14" s="7" t="n">
        <v>679.5</v>
      </c>
      <c r="S14" s="7" t="n">
        <v>387882.9</v>
      </c>
      <c r="T14" s="7" t="n">
        <v>617497</v>
      </c>
      <c r="U14" s="7" t="n">
        <v>0</v>
      </c>
      <c r="V14" s="9" t="n">
        <v>0.54</v>
      </c>
      <c r="W14" s="4" t="s">
        <v>39</v>
      </c>
      <c r="X14" s="4" t="s">
        <v>39</v>
      </c>
      <c r="Y14" s="4" t="s">
        <v>39</v>
      </c>
      <c r="Z14" s="9" t="n">
        <v>0.646</v>
      </c>
      <c r="AA14" s="10" t="n">
        <v>54</v>
      </c>
      <c r="AB14" s="4" t="s">
        <v>51</v>
      </c>
      <c r="AC14" s="4" t="s">
        <v>117</v>
      </c>
      <c r="AD14" s="4" t="s">
        <v>130</v>
      </c>
      <c r="AE14" s="4" t="inlineStr">
        <is>
          <t>N</t>
        </is>
      </c>
    </row>
    <row r="15" customFormat="false" ht="15" hidden="false" customHeight="true" outlineLevel="0" collapsed="false">
      <c r="A15" s="4" t="s">
        <v>131</v>
      </c>
      <c r="B15" s="4" t="s">
        <v>132</v>
      </c>
      <c r="C15" s="5" t="n">
        <v>1</v>
      </c>
      <c r="D15" s="4" t="s">
        <v>133</v>
      </c>
      <c r="E15" s="4" t="s">
        <v>134</v>
      </c>
      <c r="F15" s="4" t="s">
        <v>35</v>
      </c>
      <c r="G15" s="4" t="s">
        <v>135</v>
      </c>
      <c r="H15" s="6" t="n">
        <v>40.81185</v>
      </c>
      <c r="I15" s="6" t="n">
        <v>-73.19533</v>
      </c>
      <c r="J15" s="4" t="s">
        <v>49</v>
      </c>
      <c r="K15" s="7" t="n">
        <v>346000</v>
      </c>
      <c r="L15" s="7" t="n">
        <v>6175947</v>
      </c>
      <c r="M15" s="7" t="n">
        <v>0</v>
      </c>
      <c r="N15" s="7" t="n">
        <v>0</v>
      </c>
      <c r="O15" s="8" t="n">
        <f aca="false">L15/K15</f>
        <v>17.8495578034682</v>
      </c>
      <c r="P15" s="7" t="n">
        <v>39.2</v>
      </c>
      <c r="Q15" s="7" t="n">
        <f aca="false">L15*$AG$3</f>
        <v>1111.67046</v>
      </c>
      <c r="R15" s="7" t="n">
        <v>850</v>
      </c>
      <c r="S15" s="7" t="n">
        <v>126417.8</v>
      </c>
      <c r="T15" s="7" t="n">
        <v>5231520</v>
      </c>
      <c r="U15" s="7" t="n">
        <v>265789</v>
      </c>
      <c r="V15" s="9" t="n">
        <v>0.781</v>
      </c>
      <c r="W15" s="4" t="s">
        <v>39</v>
      </c>
      <c r="X15" s="4" t="s">
        <v>79</v>
      </c>
      <c r="Y15" s="4" t="s">
        <v>39</v>
      </c>
      <c r="Z15" s="9" t="n">
        <v>0.95</v>
      </c>
      <c r="AA15" s="10" t="n">
        <v>85</v>
      </c>
      <c r="AB15" s="4" t="s">
        <v>51</v>
      </c>
      <c r="AC15" s="4" t="s">
        <v>117</v>
      </c>
      <c r="AD15" s="4" t="s">
        <v>124</v>
      </c>
      <c r="AE15" s="4" t="inlineStr">
        <is>
          <t>Y</t>
        </is>
      </c>
    </row>
    <row r="16" customFormat="false" ht="15" hidden="false" customHeight="true" outlineLevel="0" collapsed="false">
      <c r="A16" s="4" t="s">
        <v>136</v>
      </c>
      <c r="B16" s="4" t="s">
        <v>137</v>
      </c>
      <c r="C16" s="5" t="n">
        <v>1</v>
      </c>
      <c r="D16" s="4" t="s">
        <v>138</v>
      </c>
      <c r="E16" s="4" t="s">
        <v>139</v>
      </c>
      <c r="F16" s="4" t="s">
        <v>35</v>
      </c>
      <c r="G16" s="4" t="s">
        <v>140</v>
      </c>
      <c r="H16" s="6" t="n">
        <v>41.50715</v>
      </c>
      <c r="I16" s="6" t="n">
        <v>-74.00334</v>
      </c>
      <c r="J16" s="4" t="s">
        <v>59</v>
      </c>
      <c r="K16" s="7" t="n">
        <v>263000</v>
      </c>
      <c r="L16" s="7" t="n">
        <v>3964916</v>
      </c>
      <c r="M16" s="7" t="n">
        <v>0</v>
      </c>
      <c r="N16" s="7" t="n">
        <v>0</v>
      </c>
      <c r="O16" s="8" t="n">
        <f aca="false">L16/K16</f>
        <v>15.0757262357414</v>
      </c>
      <c r="P16" s="7" t="n">
        <v>3</v>
      </c>
      <c r="Q16" s="7" t="n">
        <f aca="false">L16*$AG$3</f>
        <v>713.68488</v>
      </c>
      <c r="R16" s="7" t="n">
        <v>577.5</v>
      </c>
      <c r="S16" s="7" t="n">
        <v>230191.4</v>
      </c>
      <c r="T16" s="7" t="n">
        <v>3692520</v>
      </c>
      <c r="U16" s="7" t="n">
        <v>102710</v>
      </c>
      <c r="V16" s="9" t="n">
        <v>0.264</v>
      </c>
      <c r="W16" s="4" t="s">
        <v>39</v>
      </c>
      <c r="X16" s="4" t="s">
        <v>39</v>
      </c>
      <c r="Y16" s="4" t="s">
        <v>69</v>
      </c>
      <c r="Z16" s="9" t="n">
        <v>0.749</v>
      </c>
      <c r="AA16" s="10" t="n">
        <v>83</v>
      </c>
      <c r="AB16" s="4" t="s">
        <v>51</v>
      </c>
      <c r="AC16" s="4" t="s">
        <v>80</v>
      </c>
      <c r="AD16" s="4" t="s">
        <v>141</v>
      </c>
      <c r="AE16" s="4" t="inlineStr">
        <is>
          <t>Y</t>
        </is>
      </c>
    </row>
    <row r="17" customFormat="false" ht="15" hidden="false" customHeight="true" outlineLevel="0" collapsed="false">
      <c r="A17" s="4" t="s">
        <v>142</v>
      </c>
      <c r="B17" s="4" t="s">
        <v>143</v>
      </c>
      <c r="C17" s="5" t="n">
        <v>2</v>
      </c>
      <c r="D17" s="4" t="s">
        <v>144</v>
      </c>
      <c r="E17" s="4" t="s">
        <v>145</v>
      </c>
      <c r="F17" s="4" t="s">
        <v>35</v>
      </c>
      <c r="G17" s="4" t="s">
        <v>146</v>
      </c>
      <c r="H17" s="6" t="n">
        <v>41.69112</v>
      </c>
      <c r="I17" s="6" t="n">
        <v>-73.92362</v>
      </c>
      <c r="J17" s="4" t="s">
        <v>68</v>
      </c>
      <c r="K17" s="7" t="n">
        <v>613000</v>
      </c>
      <c r="L17" s="7" t="n">
        <v>9645770</v>
      </c>
      <c r="M17" s="7" t="n">
        <v>0</v>
      </c>
      <c r="N17" s="7" t="n">
        <v>0</v>
      </c>
      <c r="O17" s="8" t="n">
        <f aca="false">L17/K17</f>
        <v>15.7353507340946</v>
      </c>
      <c r="P17" s="7" t="n">
        <v>237</v>
      </c>
      <c r="Q17" s="7" t="n">
        <f aca="false">L17*$AG$3</f>
        <v>1736.2386</v>
      </c>
      <c r="R17" s="7" t="n">
        <v>1333.6</v>
      </c>
      <c r="S17" s="7" t="n">
        <v>732936.5</v>
      </c>
      <c r="T17" s="7" t="n">
        <v>6979005</v>
      </c>
      <c r="U17" s="7" t="n">
        <v>289701</v>
      </c>
      <c r="V17" s="9" t="n">
        <v>0.617</v>
      </c>
      <c r="W17" s="4" t="s">
        <v>39</v>
      </c>
      <c r="X17" s="4" t="s">
        <v>50</v>
      </c>
      <c r="Y17" s="4" t="s">
        <v>39</v>
      </c>
      <c r="Z17" s="9" t="n">
        <v>0.948</v>
      </c>
      <c r="AA17" s="10" t="n">
        <v>64</v>
      </c>
      <c r="AB17" s="4" t="s">
        <v>60</v>
      </c>
      <c r="AC17" s="4" t="s">
        <v>41</v>
      </c>
      <c r="AD17" s="4" t="s">
        <v>147</v>
      </c>
      <c r="AE17" s="4" t="inlineStr">
        <is>
          <t>N</t>
        </is>
      </c>
    </row>
    <row r="18" customFormat="false" ht="15" hidden="false" customHeight="true" outlineLevel="0" collapsed="false">
      <c r="A18" s="4" t="s">
        <v>148</v>
      </c>
      <c r="B18" s="4" t="s">
        <v>149</v>
      </c>
      <c r="C18" s="5" t="n">
        <v>1</v>
      </c>
      <c r="D18" s="4" t="s">
        <v>150</v>
      </c>
      <c r="E18" s="4" t="s">
        <v>151</v>
      </c>
      <c r="F18" s="4" t="s">
        <v>35</v>
      </c>
      <c r="G18" s="4" t="s">
        <v>152</v>
      </c>
      <c r="H18" s="6" t="n">
        <v>41.9175</v>
      </c>
      <c r="I18" s="6" t="n">
        <v>-73.99267</v>
      </c>
      <c r="J18" s="4" t="s">
        <v>77</v>
      </c>
      <c r="K18" s="7" t="n">
        <v>477000</v>
      </c>
      <c r="L18" s="7" t="n">
        <v>6034334</v>
      </c>
      <c r="M18" s="7" t="n">
        <v>0</v>
      </c>
      <c r="N18" s="7" t="n">
        <v>0</v>
      </c>
      <c r="O18" s="8" t="n">
        <f aca="false">L18/K18</f>
        <v>12.6505953878407</v>
      </c>
      <c r="P18" s="7" t="n">
        <v>51.8</v>
      </c>
      <c r="Q18" s="7" t="n">
        <f aca="false">L18*$AG$3</f>
        <v>1086.18012</v>
      </c>
      <c r="R18" s="7" t="n">
        <v>1040.4</v>
      </c>
      <c r="S18" s="7" t="n">
        <v>414226.6</v>
      </c>
      <c r="T18" s="7" t="n">
        <v>1844864</v>
      </c>
      <c r="U18" s="7" t="n">
        <v>0</v>
      </c>
      <c r="V18" s="9" t="n">
        <v>0.249</v>
      </c>
      <c r="W18" s="4" t="s">
        <v>39</v>
      </c>
      <c r="X18" s="4" t="s">
        <v>153</v>
      </c>
      <c r="Y18" s="4" t="s">
        <v>69</v>
      </c>
      <c r="Z18" s="9" t="n">
        <v>0.65</v>
      </c>
      <c r="AA18" s="10" t="n">
        <v>90</v>
      </c>
      <c r="AB18" s="4" t="s">
        <v>60</v>
      </c>
      <c r="AC18" s="4" t="s">
        <v>117</v>
      </c>
      <c r="AD18" s="4" t="s">
        <v>154</v>
      </c>
      <c r="AE18" s="4" t="inlineStr">
        <is>
          <t>N</t>
        </is>
      </c>
    </row>
    <row r="19" customFormat="false" ht="15" hidden="false" customHeight="true" outlineLevel="0" collapsed="false">
      <c r="A19" s="4" t="s">
        <v>155</v>
      </c>
      <c r="B19" s="4" t="s">
        <v>156</v>
      </c>
      <c r="C19" s="5" t="n">
        <v>1</v>
      </c>
      <c r="D19" s="4" t="s">
        <v>157</v>
      </c>
      <c r="E19" s="4" t="s">
        <v>158</v>
      </c>
      <c r="F19" s="4" t="s">
        <v>35</v>
      </c>
      <c r="G19" s="4" t="s">
        <v>159</v>
      </c>
      <c r="H19" s="6" t="n">
        <v>42.6835</v>
      </c>
      <c r="I19" s="6" t="n">
        <v>-73.83903</v>
      </c>
      <c r="J19" s="4" t="s">
        <v>87</v>
      </c>
      <c r="K19" s="7" t="n">
        <v>79000</v>
      </c>
      <c r="L19" s="7" t="n">
        <v>940134</v>
      </c>
      <c r="M19" s="7" t="n">
        <v>124849</v>
      </c>
      <c r="N19" s="7" t="n">
        <v>25636</v>
      </c>
      <c r="O19" s="8" t="n">
        <f aca="false">L19/K19</f>
        <v>11.9004303797468</v>
      </c>
      <c r="P19" s="7" t="n">
        <v>40.8</v>
      </c>
      <c r="Q19" s="7" t="n">
        <f aca="false">L19*$AG$3</f>
        <v>169.22412</v>
      </c>
      <c r="R19" s="7" t="n">
        <v>126.5</v>
      </c>
      <c r="S19" s="7" t="n">
        <v>66392</v>
      </c>
      <c r="T19" s="7" t="n">
        <v>796320</v>
      </c>
      <c r="U19" s="7" t="n">
        <v>44876</v>
      </c>
      <c r="V19" s="9" t="n">
        <v>0.347</v>
      </c>
      <c r="W19" s="4" t="s">
        <v>39</v>
      </c>
      <c r="X19" s="4" t="s">
        <v>39</v>
      </c>
      <c r="Y19" s="4" t="s">
        <v>39</v>
      </c>
      <c r="Z19" s="9" t="n">
        <v>0.818</v>
      </c>
      <c r="AA19" s="10" t="n">
        <v>60</v>
      </c>
      <c r="AB19" s="4" t="s">
        <v>40</v>
      </c>
      <c r="AC19" s="4" t="s">
        <v>117</v>
      </c>
      <c r="AD19" s="4" t="s">
        <v>160</v>
      </c>
      <c r="AE19" s="4" t="inlineStr">
        <is>
          <t>Y</t>
        </is>
      </c>
    </row>
    <row r="20" customFormat="false" ht="15" hidden="false" customHeight="true" outlineLevel="0" collapsed="false">
      <c r="A20" s="4" t="s">
        <v>161</v>
      </c>
      <c r="B20" s="4" t="s">
        <v>162</v>
      </c>
      <c r="C20" s="5" t="n">
        <v>1</v>
      </c>
      <c r="D20" s="4" t="s">
        <v>163</v>
      </c>
      <c r="E20" s="4" t="s">
        <v>164</v>
      </c>
      <c r="F20" s="4" t="s">
        <v>35</v>
      </c>
      <c r="G20" s="4" t="s">
        <v>165</v>
      </c>
      <c r="H20" s="6" t="n">
        <v>42.82219</v>
      </c>
      <c r="I20" s="6" t="n">
        <v>-73.9458</v>
      </c>
      <c r="J20" s="4" t="s">
        <v>37</v>
      </c>
      <c r="K20" s="7" t="n">
        <v>449000</v>
      </c>
      <c r="L20" s="7" t="n">
        <v>3871013</v>
      </c>
      <c r="M20" s="7" t="n">
        <v>0</v>
      </c>
      <c r="N20" s="7" t="n">
        <v>0</v>
      </c>
      <c r="O20" s="8" t="n">
        <f aca="false">L20/K20</f>
        <v>8.62140979955457</v>
      </c>
      <c r="P20" s="7" t="n">
        <v>337.9</v>
      </c>
      <c r="Q20" s="7" t="n">
        <f aca="false">L20*$AG$3</f>
        <v>696.78234</v>
      </c>
      <c r="R20" s="7" t="n">
        <v>684.9</v>
      </c>
      <c r="S20" s="7" t="n">
        <v>264741.1</v>
      </c>
      <c r="T20" s="7" t="n">
        <v>3056792</v>
      </c>
      <c r="U20" s="7" t="n">
        <v>0</v>
      </c>
      <c r="V20" s="9" t="n">
        <v>0.652</v>
      </c>
      <c r="W20" s="4" t="s">
        <v>39</v>
      </c>
      <c r="X20" s="4" t="s">
        <v>50</v>
      </c>
      <c r="Y20" s="4" t="s">
        <v>39</v>
      </c>
      <c r="Z20" s="9" t="n">
        <v>0.581</v>
      </c>
      <c r="AA20" s="10" t="n">
        <v>80</v>
      </c>
      <c r="AB20" s="4" t="s">
        <v>60</v>
      </c>
      <c r="AC20" s="4" t="s">
        <v>117</v>
      </c>
      <c r="AD20" s="4" t="s">
        <v>166</v>
      </c>
      <c r="AE20" s="4" t="inlineStr">
        <is>
          <t>N</t>
        </is>
      </c>
    </row>
    <row r="21" customFormat="false" ht="15" hidden="false" customHeight="true" outlineLevel="0" collapsed="false">
      <c r="A21" s="4" t="s">
        <v>167</v>
      </c>
      <c r="B21" s="4" t="s">
        <v>168</v>
      </c>
      <c r="C21" s="5" t="n">
        <v>1</v>
      </c>
      <c r="D21" s="4" t="s">
        <v>169</v>
      </c>
      <c r="E21" s="4" t="s">
        <v>170</v>
      </c>
      <c r="F21" s="4" t="s">
        <v>35</v>
      </c>
      <c r="G21" s="4" t="s">
        <v>171</v>
      </c>
      <c r="H21" s="6" t="n">
        <v>42.72459</v>
      </c>
      <c r="I21" s="6" t="n">
        <v>-73.69363</v>
      </c>
      <c r="J21" s="4" t="s">
        <v>49</v>
      </c>
      <c r="K21" s="7" t="n">
        <v>574000</v>
      </c>
      <c r="L21" s="7" t="n">
        <v>7825689</v>
      </c>
      <c r="M21" s="7" t="n">
        <v>0</v>
      </c>
      <c r="N21" s="7" t="n">
        <v>0</v>
      </c>
      <c r="O21" s="8" t="n">
        <f aca="false">L21/K21</f>
        <v>13.6336045296167</v>
      </c>
      <c r="P21" s="7" t="n">
        <v>273.3</v>
      </c>
      <c r="Q21" s="7" t="n">
        <f aca="false">L21*$AG$3</f>
        <v>1408.62402</v>
      </c>
      <c r="R21" s="7" t="n">
        <v>1123.4</v>
      </c>
      <c r="S21" s="7" t="n">
        <v>598053.4</v>
      </c>
      <c r="T21" s="7" t="n">
        <v>3869463</v>
      </c>
      <c r="U21" s="7" t="n">
        <v>0</v>
      </c>
      <c r="V21" s="9" t="n">
        <v>0.574</v>
      </c>
      <c r="W21" s="4" t="s">
        <v>39</v>
      </c>
      <c r="X21" s="4" t="s">
        <v>172</v>
      </c>
      <c r="Y21" s="4" t="s">
        <v>39</v>
      </c>
      <c r="Z21" s="9" t="n">
        <v>0.925</v>
      </c>
      <c r="AA21" s="10" t="n">
        <v>57</v>
      </c>
      <c r="AB21" s="4" t="s">
        <v>51</v>
      </c>
      <c r="AC21" s="4" t="s">
        <v>70</v>
      </c>
      <c r="AD21" s="4" t="s">
        <v>173</v>
      </c>
      <c r="AE21" s="4" t="inlineStr">
        <is>
          <t>Y</t>
        </is>
      </c>
    </row>
    <row r="22" customFormat="false" ht="15" hidden="false" customHeight="true" outlineLevel="0" collapsed="false">
      <c r="A22" s="4" t="s">
        <v>174</v>
      </c>
      <c r="B22" s="4" t="s">
        <v>175</v>
      </c>
      <c r="C22" s="5" t="n">
        <v>3</v>
      </c>
      <c r="D22" s="4" t="s">
        <v>176</v>
      </c>
      <c r="E22" s="4" t="s">
        <v>177</v>
      </c>
      <c r="F22" s="4" t="s">
        <v>35</v>
      </c>
      <c r="G22" s="4" t="s">
        <v>178</v>
      </c>
      <c r="H22" s="6" t="n">
        <v>43.03804</v>
      </c>
      <c r="I22" s="6" t="n">
        <v>-76.16349</v>
      </c>
      <c r="J22" s="4" t="s">
        <v>59</v>
      </c>
      <c r="K22" s="7" t="n">
        <v>531000</v>
      </c>
      <c r="L22" s="7" t="n">
        <v>8048067</v>
      </c>
      <c r="M22" s="7" t="n">
        <v>0</v>
      </c>
      <c r="N22" s="7" t="n">
        <v>0</v>
      </c>
      <c r="O22" s="8" t="n">
        <f aca="false">L22/K22</f>
        <v>15.1564350282486</v>
      </c>
      <c r="P22" s="7" t="n">
        <v>44.2</v>
      </c>
      <c r="Q22" s="7" t="n">
        <f aca="false">L22*$AG$3</f>
        <v>1448.65206</v>
      </c>
      <c r="R22" s="7" t="n">
        <v>1364.9</v>
      </c>
      <c r="S22" s="7" t="n">
        <v>479109.8</v>
      </c>
      <c r="T22" s="7" t="n">
        <v>2116834</v>
      </c>
      <c r="U22" s="7" t="n">
        <v>0</v>
      </c>
      <c r="V22" s="9" t="n">
        <v>0.576</v>
      </c>
      <c r="W22" s="4" t="s">
        <v>39</v>
      </c>
      <c r="X22" s="4" t="s">
        <v>39</v>
      </c>
      <c r="Y22" s="4" t="s">
        <v>69</v>
      </c>
      <c r="Z22" s="9" t="n">
        <v>0.69</v>
      </c>
      <c r="AA22" s="10" t="n">
        <v>89</v>
      </c>
      <c r="AB22" s="4" t="s">
        <v>51</v>
      </c>
      <c r="AC22" s="4" t="s">
        <v>80</v>
      </c>
      <c r="AD22" s="4" t="s">
        <v>130</v>
      </c>
      <c r="AE22" s="4" t="inlineStr">
        <is>
          <t>Y</t>
        </is>
      </c>
    </row>
    <row r="23" customFormat="false" ht="15" hidden="false" customHeight="true" outlineLevel="0" collapsed="false">
      <c r="A23" s="4" t="s">
        <v>179</v>
      </c>
      <c r="B23" s="4" t="s">
        <v>180</v>
      </c>
      <c r="C23" s="5" t="n">
        <v>1</v>
      </c>
      <c r="D23" s="4" t="s">
        <v>181</v>
      </c>
      <c r="E23" s="4" t="s">
        <v>182</v>
      </c>
      <c r="F23" s="4" t="s">
        <v>35</v>
      </c>
      <c r="G23" s="4" t="s">
        <v>183</v>
      </c>
      <c r="H23" s="6" t="n">
        <v>43.16799</v>
      </c>
      <c r="I23" s="6" t="n">
        <v>-77.67754</v>
      </c>
      <c r="J23" s="4" t="s">
        <v>68</v>
      </c>
      <c r="K23" s="7" t="n">
        <v>680000</v>
      </c>
      <c r="L23" s="7" t="n">
        <v>9385478</v>
      </c>
      <c r="M23" s="7" t="n">
        <v>0</v>
      </c>
      <c r="N23" s="7" t="n">
        <v>0</v>
      </c>
      <c r="O23" s="8" t="n">
        <f aca="false">L23/K23</f>
        <v>13.8021735294118</v>
      </c>
      <c r="P23" s="7" t="n">
        <v>452.6</v>
      </c>
      <c r="Q23" s="7" t="n">
        <f aca="false">L23*$AG$3</f>
        <v>1689.38604</v>
      </c>
      <c r="R23" s="7" t="n">
        <v>1376.2</v>
      </c>
      <c r="S23" s="7" t="n">
        <v>466107.5</v>
      </c>
      <c r="T23" s="7" t="n">
        <v>2521365</v>
      </c>
      <c r="U23" s="7" t="n">
        <v>0</v>
      </c>
      <c r="V23" s="9" t="n">
        <v>0.184</v>
      </c>
      <c r="W23" s="4" t="s">
        <v>39</v>
      </c>
      <c r="X23" s="4" t="s">
        <v>172</v>
      </c>
      <c r="Y23" s="4" t="s">
        <v>39</v>
      </c>
      <c r="Z23" s="9" t="n">
        <v>0.629</v>
      </c>
      <c r="AA23" s="10" t="n">
        <v>82</v>
      </c>
      <c r="AB23" s="4" t="s">
        <v>51</v>
      </c>
      <c r="AC23" s="4" t="s">
        <v>80</v>
      </c>
      <c r="AD23" s="4" t="s">
        <v>184</v>
      </c>
      <c r="AE23" s="4" t="inlineStr">
        <is>
          <t>Y</t>
        </is>
      </c>
    </row>
    <row r="24" customFormat="false" ht="15" hidden="false" customHeight="true" outlineLevel="0" collapsed="false">
      <c r="A24" s="4" t="s">
        <v>185</v>
      </c>
      <c r="B24" s="4" t="s">
        <v>186</v>
      </c>
      <c r="C24" s="5" t="n">
        <v>1</v>
      </c>
      <c r="D24" s="4" t="s">
        <v>187</v>
      </c>
      <c r="E24" s="4" t="s">
        <v>188</v>
      </c>
      <c r="F24" s="4" t="s">
        <v>35</v>
      </c>
      <c r="G24" s="4" t="s">
        <v>189</v>
      </c>
      <c r="H24" s="6" t="n">
        <v>42.87907</v>
      </c>
      <c r="I24" s="6" t="n">
        <v>-78.82791</v>
      </c>
      <c r="J24" s="4" t="s">
        <v>77</v>
      </c>
      <c r="K24" s="7" t="n">
        <v>522000</v>
      </c>
      <c r="L24" s="7" t="n">
        <v>8057511</v>
      </c>
      <c r="M24" s="7" t="n">
        <v>0</v>
      </c>
      <c r="N24" s="7" t="n">
        <v>0</v>
      </c>
      <c r="O24" s="8" t="n">
        <f aca="false">L24/K24</f>
        <v>15.4358448275862</v>
      </c>
      <c r="P24" s="7" t="n">
        <v>490.9</v>
      </c>
      <c r="Q24" s="7" t="n">
        <f aca="false">L24*$AG$3</f>
        <v>1450.35198</v>
      </c>
      <c r="R24" s="7" t="n">
        <v>1323</v>
      </c>
      <c r="S24" s="7" t="n">
        <v>375112.6</v>
      </c>
      <c r="T24" s="7" t="n">
        <v>4651020</v>
      </c>
      <c r="U24" s="7" t="n">
        <v>0</v>
      </c>
      <c r="V24" s="9" t="n">
        <v>0.453</v>
      </c>
      <c r="W24" s="4" t="s">
        <v>78</v>
      </c>
      <c r="X24" s="4" t="s">
        <v>39</v>
      </c>
      <c r="Y24" s="4" t="s">
        <v>69</v>
      </c>
      <c r="Z24" s="9" t="n">
        <v>0.938</v>
      </c>
      <c r="AA24" s="10" t="n">
        <v>66</v>
      </c>
      <c r="AB24" s="4" t="s">
        <v>51</v>
      </c>
      <c r="AC24" s="4" t="s">
        <v>41</v>
      </c>
      <c r="AD24" s="4" t="s">
        <v>190</v>
      </c>
      <c r="AE24" s="4" t="inlineStr">
        <is>
          <t>N</t>
        </is>
      </c>
    </row>
    <row r="25" customFormat="false" ht="15" hidden="false" customHeight="true" outlineLevel="0" collapsed="false">
      <c r="A25" s="4" t="s">
        <v>191</v>
      </c>
      <c r="B25" s="4" t="s">
        <v>192</v>
      </c>
      <c r="C25" s="5" t="n">
        <v>1</v>
      </c>
      <c r="D25" s="4" t="s">
        <v>193</v>
      </c>
      <c r="E25" s="4" t="s">
        <v>194</v>
      </c>
      <c r="F25" s="4" t="s">
        <v>35</v>
      </c>
      <c r="G25" s="4" t="s">
        <v>195</v>
      </c>
      <c r="H25" s="6" t="n">
        <v>42.91093</v>
      </c>
      <c r="I25" s="6" t="n">
        <v>-78.74421</v>
      </c>
      <c r="J25" s="4" t="s">
        <v>87</v>
      </c>
      <c r="K25" s="7" t="n">
        <v>551000</v>
      </c>
      <c r="L25" s="7" t="n">
        <v>5005706</v>
      </c>
      <c r="M25" s="7" t="n">
        <v>0</v>
      </c>
      <c r="N25" s="7" t="n">
        <v>0</v>
      </c>
      <c r="O25" s="8" t="n">
        <f aca="false">L25/K25</f>
        <v>9.08476588021779</v>
      </c>
      <c r="P25" s="7" t="n">
        <v>207.8</v>
      </c>
      <c r="Q25" s="7" t="n">
        <f aca="false">L25*$AG$3</f>
        <v>901.02708</v>
      </c>
      <c r="R25" s="7" t="n">
        <v>602.1</v>
      </c>
      <c r="S25" s="7" t="n">
        <v>262344.7</v>
      </c>
      <c r="T25" s="7" t="n">
        <v>1635708</v>
      </c>
      <c r="U25" s="7" t="n">
        <v>170264</v>
      </c>
      <c r="V25" s="9" t="n">
        <v>0.632</v>
      </c>
      <c r="W25" s="4" t="s">
        <v>39</v>
      </c>
      <c r="X25" s="4" t="s">
        <v>172</v>
      </c>
      <c r="Y25" s="4" t="s">
        <v>39</v>
      </c>
      <c r="Z25" s="9" t="n">
        <v>0.699</v>
      </c>
      <c r="AA25" s="10" t="n">
        <v>67</v>
      </c>
      <c r="AB25" s="4" t="s">
        <v>51</v>
      </c>
      <c r="AC25" s="4" t="s">
        <v>41</v>
      </c>
      <c r="AD25" s="4" t="s">
        <v>196</v>
      </c>
      <c r="AE25" s="4" t="inlineStr">
        <is>
          <t>Y</t>
        </is>
      </c>
    </row>
    <row r="26" customFormat="false" ht="15" hidden="false" customHeight="true" outlineLevel="0" collapsed="false">
      <c r="A26" s="4" t="s">
        <v>197</v>
      </c>
      <c r="B26" s="4" t="s">
        <v>198</v>
      </c>
      <c r="C26" s="5" t="n">
        <v>2</v>
      </c>
      <c r="D26" s="4" t="s">
        <v>199</v>
      </c>
      <c r="E26" s="4" t="s">
        <v>200</v>
      </c>
      <c r="F26" s="4" t="s">
        <v>35</v>
      </c>
      <c r="G26" s="4" t="s">
        <v>201</v>
      </c>
      <c r="H26" s="6" t="n">
        <v>43.10982</v>
      </c>
      <c r="I26" s="6" t="n">
        <v>-75.24231</v>
      </c>
      <c r="J26" s="4" t="s">
        <v>37</v>
      </c>
      <c r="K26" s="7" t="n">
        <v>653000</v>
      </c>
      <c r="L26" s="7" t="n">
        <v>13274963</v>
      </c>
      <c r="M26" s="7" t="n">
        <v>0</v>
      </c>
      <c r="N26" s="7" t="n">
        <v>0</v>
      </c>
      <c r="O26" s="8" t="n">
        <f aca="false">L26/K26</f>
        <v>20.3291929555896</v>
      </c>
      <c r="P26" s="7" t="n">
        <v>310</v>
      </c>
      <c r="Q26" s="7" t="n">
        <f aca="false">L26*$AG$3</f>
        <v>2389.49334</v>
      </c>
      <c r="R26" s="7" t="n">
        <v>2349.3</v>
      </c>
      <c r="S26" s="7" t="n">
        <v>1016390.9</v>
      </c>
      <c r="T26" s="7" t="n">
        <v>2670958</v>
      </c>
      <c r="U26" s="7" t="n">
        <v>0</v>
      </c>
      <c r="V26" s="9" t="n">
        <v>0.751</v>
      </c>
      <c r="W26" s="4" t="s">
        <v>38</v>
      </c>
      <c r="X26" s="4" t="s">
        <v>39</v>
      </c>
      <c r="Y26" s="4" t="s">
        <v>39</v>
      </c>
      <c r="Z26" s="9" t="n">
        <v>0.649</v>
      </c>
      <c r="AA26" s="10" t="n">
        <v>65</v>
      </c>
      <c r="AB26" s="4" t="s">
        <v>51</v>
      </c>
      <c r="AC26" s="4" t="s">
        <v>70</v>
      </c>
      <c r="AD26" s="4" t="s">
        <v>202</v>
      </c>
      <c r="AE26" s="4" t="inlineStr">
        <is>
          <t>Y</t>
        </is>
      </c>
    </row>
    <row r="27" customFormat="false" ht="15" hidden="false" customHeight="true" outlineLevel="0" collapsed="false">
      <c r="A27" s="4" t="s">
        <v>203</v>
      </c>
      <c r="B27" s="4" t="s">
        <v>204</v>
      </c>
      <c r="C27" s="5" t="n">
        <v>8</v>
      </c>
      <c r="D27" s="4" t="s">
        <v>205</v>
      </c>
      <c r="E27" s="4" t="s">
        <v>206</v>
      </c>
      <c r="F27" s="4" t="s">
        <v>35</v>
      </c>
      <c r="G27" s="4" t="s">
        <v>207</v>
      </c>
      <c r="H27" s="6" t="n">
        <v>40.69558</v>
      </c>
      <c r="I27" s="6" t="n">
        <v>-73.98415</v>
      </c>
      <c r="J27" s="4" t="s">
        <v>208</v>
      </c>
      <c r="K27" s="7" t="n">
        <v>447000</v>
      </c>
      <c r="L27" s="7" t="n">
        <v>9150414</v>
      </c>
      <c r="M27" s="7" t="n">
        <v>0</v>
      </c>
      <c r="N27" s="7" t="n">
        <v>0</v>
      </c>
      <c r="O27" s="8" t="n">
        <f aca="false">L27/K27</f>
        <v>20.4707248322148</v>
      </c>
      <c r="P27" s="7" t="n">
        <v>119.4</v>
      </c>
      <c r="Q27" s="7" t="n">
        <f aca="false">L27*$AG$3</f>
        <v>1647.07452</v>
      </c>
      <c r="R27" s="7" t="n">
        <v>1281.9</v>
      </c>
      <c r="S27" s="7" t="n">
        <v>459453.5</v>
      </c>
      <c r="T27" s="7" t="n">
        <v>8239104</v>
      </c>
      <c r="U27" s="7" t="n">
        <v>0</v>
      </c>
      <c r="V27" s="9" t="n">
        <v>0.444</v>
      </c>
      <c r="W27" s="4" t="s">
        <v>39</v>
      </c>
      <c r="X27" s="4" t="s">
        <v>39</v>
      </c>
      <c r="Y27" s="4" t="s">
        <v>39</v>
      </c>
      <c r="Z27" s="9" t="n">
        <v>0.482</v>
      </c>
      <c r="AA27" s="10" t="n">
        <v>52</v>
      </c>
      <c r="AB27" s="4" t="s">
        <v>51</v>
      </c>
      <c r="AC27" s="4" t="s">
        <v>70</v>
      </c>
      <c r="AD27" s="4" t="s">
        <v>209</v>
      </c>
      <c r="AE27" s="4" t="inlineStr">
        <is>
          <t>Y</t>
        </is>
      </c>
    </row>
    <row r="28" customFormat="false" ht="15" hidden="false" customHeight="true" outlineLevel="0" collapsed="false">
      <c r="A28" s="4" t="s">
        <v>210</v>
      </c>
      <c r="B28" s="4" t="s">
        <v>211</v>
      </c>
      <c r="C28" s="5" t="n">
        <v>12</v>
      </c>
      <c r="D28" s="4" t="s">
        <v>212</v>
      </c>
      <c r="E28" s="4" t="s">
        <v>213</v>
      </c>
      <c r="F28" s="4" t="s">
        <v>35</v>
      </c>
      <c r="G28" s="4" t="s">
        <v>214</v>
      </c>
      <c r="H28" s="6" t="n">
        <v>41.03572</v>
      </c>
      <c r="I28" s="6" t="n">
        <v>-73.76447</v>
      </c>
      <c r="J28" s="4" t="s">
        <v>208</v>
      </c>
      <c r="K28" s="7" t="n">
        <v>391000</v>
      </c>
      <c r="L28" s="7" t="n">
        <v>9186286</v>
      </c>
      <c r="M28" s="7" t="n">
        <v>0</v>
      </c>
      <c r="N28" s="7" t="n">
        <v>0</v>
      </c>
      <c r="O28" s="8" t="n">
        <f aca="false">L28/K28</f>
        <v>23.4943375959079</v>
      </c>
      <c r="P28" s="7" t="n">
        <v>125.2</v>
      </c>
      <c r="Q28" s="7" t="n">
        <f aca="false">L28*$AG$3</f>
        <v>1653.53148</v>
      </c>
      <c r="R28" s="7" t="n">
        <v>1119.3</v>
      </c>
      <c r="S28" s="7" t="n">
        <v>441520</v>
      </c>
      <c r="T28" s="7" t="n">
        <v>2226346</v>
      </c>
      <c r="U28" s="7" t="n">
        <v>0</v>
      </c>
      <c r="V28" s="9" t="n">
        <v>0.5</v>
      </c>
      <c r="W28" s="4" t="s">
        <v>39</v>
      </c>
      <c r="X28" s="4" t="s">
        <v>153</v>
      </c>
      <c r="Y28" s="4" t="s">
        <v>69</v>
      </c>
      <c r="Z28" s="9" t="n">
        <v>0.836</v>
      </c>
      <c r="AA28" s="10" t="n">
        <v>57</v>
      </c>
      <c r="AB28" s="4" t="s">
        <v>51</v>
      </c>
      <c r="AC28" s="4" t="s">
        <v>70</v>
      </c>
      <c r="AD28" s="4" t="s">
        <v>215</v>
      </c>
      <c r="AE28" s="4" t="inlineStr">
        <is>
          <t>Y</t>
        </is>
      </c>
    </row>
    <row r="29" customFormat="false" ht="15" hidden="false" customHeight="true" outlineLevel="0" collapsed="false">
      <c r="A29" s="4" t="s">
        <v>216</v>
      </c>
      <c r="B29" s="4" t="s">
        <v>217</v>
      </c>
      <c r="C29" s="5" t="n">
        <v>18</v>
      </c>
      <c r="D29" s="4" t="s">
        <v>218</v>
      </c>
      <c r="E29" s="4" t="s">
        <v>219</v>
      </c>
      <c r="F29" s="4" t="s">
        <v>35</v>
      </c>
      <c r="G29" s="4" t="s">
        <v>220</v>
      </c>
      <c r="H29" s="6" t="n">
        <v>42.88344</v>
      </c>
      <c r="I29" s="6" t="n">
        <v>-78.87862</v>
      </c>
      <c r="J29" s="4" t="s">
        <v>208</v>
      </c>
      <c r="K29" s="7" t="n">
        <v>364000</v>
      </c>
      <c r="L29" s="7" t="n">
        <v>7433245</v>
      </c>
      <c r="M29" s="7" t="n">
        <v>0</v>
      </c>
      <c r="N29" s="7" t="n">
        <v>0</v>
      </c>
      <c r="O29" s="8" t="n">
        <f aca="false">L29/K29</f>
        <v>20.4210027472527</v>
      </c>
      <c r="P29" s="7" t="n">
        <v>108.7</v>
      </c>
      <c r="Q29" s="7" t="n">
        <f aca="false">L29*$AG$3</f>
        <v>1337.9841</v>
      </c>
      <c r="R29" s="7" t="n">
        <v>1092.2</v>
      </c>
      <c r="S29" s="7" t="n">
        <v>462910.7</v>
      </c>
      <c r="T29" s="7" t="n">
        <v>1483500</v>
      </c>
      <c r="U29" s="7" t="n">
        <v>0</v>
      </c>
      <c r="V29" s="9" t="n">
        <v>0.311</v>
      </c>
      <c r="W29" s="4" t="s">
        <v>39</v>
      </c>
      <c r="X29" s="4" t="s">
        <v>50</v>
      </c>
      <c r="Y29" s="4" t="s">
        <v>39</v>
      </c>
      <c r="Z29" s="9" t="n">
        <v>0.575</v>
      </c>
      <c r="AA29" s="10" t="n">
        <v>88</v>
      </c>
      <c r="AB29" s="4" t="s">
        <v>51</v>
      </c>
      <c r="AC29" s="4" t="s">
        <v>117</v>
      </c>
      <c r="AD29" s="4" t="s">
        <v>221</v>
      </c>
      <c r="AE29" s="4" t="inlineStr">
        <is>
          <t>N</t>
        </is>
      </c>
    </row>
    <row r="30" customFormat="false" ht="15" hidden="false" customHeight="true" outlineLevel="0" collapsed="false">
      <c r="A30" s="4" t="s">
        <v>222</v>
      </c>
      <c r="B30" s="4" t="s">
        <v>223</v>
      </c>
      <c r="C30" s="5" t="n">
        <v>22</v>
      </c>
      <c r="D30" s="4" t="s">
        <v>224</v>
      </c>
      <c r="E30" s="4" t="s">
        <v>225</v>
      </c>
      <c r="F30" s="4" t="s">
        <v>35</v>
      </c>
      <c r="G30" s="4" t="s">
        <v>226</v>
      </c>
      <c r="H30" s="6" t="n">
        <v>43.15866</v>
      </c>
      <c r="I30" s="6" t="n">
        <v>-77.60874</v>
      </c>
      <c r="J30" s="4" t="s">
        <v>208</v>
      </c>
      <c r="K30" s="7" t="n">
        <v>405000</v>
      </c>
      <c r="L30" s="7" t="n">
        <v>9889675</v>
      </c>
      <c r="M30" s="7" t="n">
        <v>0</v>
      </c>
      <c r="N30" s="7" t="n">
        <v>0</v>
      </c>
      <c r="O30" s="8" t="n">
        <f aca="false">L30/K30</f>
        <v>24.418950617284</v>
      </c>
      <c r="P30" s="7" t="n">
        <v>312.2</v>
      </c>
      <c r="Q30" s="7" t="n">
        <f aca="false">L30*$AG$3</f>
        <v>1780.1415</v>
      </c>
      <c r="R30" s="7" t="n">
        <v>1584.4</v>
      </c>
      <c r="S30" s="7" t="n">
        <v>715834.4</v>
      </c>
      <c r="T30" s="7" t="n">
        <v>6881760</v>
      </c>
      <c r="U30" s="7" t="n">
        <v>271138</v>
      </c>
      <c r="V30" s="9" t="n">
        <v>0.464</v>
      </c>
      <c r="W30" s="4" t="s">
        <v>78</v>
      </c>
      <c r="X30" s="4" t="s">
        <v>50</v>
      </c>
      <c r="Y30" s="4" t="s">
        <v>39</v>
      </c>
      <c r="Z30" s="9" t="n">
        <v>0.754</v>
      </c>
      <c r="AA30" s="10" t="n">
        <v>79</v>
      </c>
      <c r="AB30" s="4" t="s">
        <v>40</v>
      </c>
      <c r="AC30" s="4" t="s">
        <v>70</v>
      </c>
      <c r="AD30" s="4" t="s">
        <v>227</v>
      </c>
      <c r="AE30" s="4" t="inlineStr">
        <is>
          <t>Y</t>
        </is>
      </c>
    </row>
    <row r="31" customFormat="false" ht="15" hidden="false" customHeight="true" outlineLevel="0" collapsed="false">
      <c r="A31" s="4" t="s">
        <v>228</v>
      </c>
      <c r="B31" s="4" t="s">
        <v>229</v>
      </c>
      <c r="C31" s="5" t="n">
        <v>25</v>
      </c>
      <c r="D31" s="4" t="s">
        <v>230</v>
      </c>
      <c r="E31" s="4" t="s">
        <v>231</v>
      </c>
      <c r="F31" s="4" t="s">
        <v>35</v>
      </c>
      <c r="G31" s="4" t="s">
        <v>232</v>
      </c>
      <c r="H31" s="6" t="n">
        <v>42.65403</v>
      </c>
      <c r="I31" s="6" t="n">
        <v>-73.75385</v>
      </c>
      <c r="J31" s="4" t="s">
        <v>208</v>
      </c>
      <c r="K31" s="7" t="n">
        <v>252000</v>
      </c>
      <c r="L31" s="7" t="n">
        <v>4878144</v>
      </c>
      <c r="M31" s="7" t="n">
        <v>0</v>
      </c>
      <c r="N31" s="7" t="n">
        <v>0</v>
      </c>
      <c r="O31" s="8" t="n">
        <f aca="false">L31/K31</f>
        <v>19.3577142857143</v>
      </c>
      <c r="P31" s="7" t="n">
        <v>155.8</v>
      </c>
      <c r="Q31" s="7" t="n">
        <f aca="false">L31*$AG$3</f>
        <v>878.06592</v>
      </c>
      <c r="R31" s="7" t="n">
        <v>858.8</v>
      </c>
      <c r="S31" s="7" t="n">
        <v>377702.1</v>
      </c>
      <c r="T31" s="7" t="n">
        <v>2791101</v>
      </c>
      <c r="U31" s="7" t="n">
        <v>0</v>
      </c>
      <c r="V31" s="9" t="n">
        <v>0.277</v>
      </c>
      <c r="W31" s="4" t="s">
        <v>233</v>
      </c>
      <c r="X31" s="4" t="s">
        <v>172</v>
      </c>
      <c r="Y31" s="4" t="s">
        <v>39</v>
      </c>
      <c r="Z31" s="9" t="n">
        <v>0.658</v>
      </c>
      <c r="AA31" s="10" t="n">
        <v>52</v>
      </c>
      <c r="AB31" s="4" t="s">
        <v>51</v>
      </c>
      <c r="AC31" s="4" t="s">
        <v>117</v>
      </c>
      <c r="AD31" s="4" t="s">
        <v>234</v>
      </c>
      <c r="AE31" s="4" t="inlineStr">
        <is>
          <t>Y</t>
        </is>
      </c>
    </row>
    <row r="33" customFormat="false" ht="15" hidden="false" customHeight="true" outlineLevel="0" collapsed="false">
      <c r="A33" s="15"/>
      <c r="B33" s="16" t="s">
        <v>235</v>
      </c>
      <c r="C33" s="17" t="n">
        <f aca="false">SUMPRODUCT(C2:C31,$K2:$K31)/SUM($K2:$K31)</f>
        <v>3.67340380549683</v>
      </c>
      <c r="D33" s="15"/>
      <c r="E33" s="15"/>
      <c r="F33" s="15"/>
      <c r="G33" s="15"/>
      <c r="H33" s="15"/>
      <c r="I33" s="15"/>
      <c r="J33" s="15"/>
      <c r="K33" s="18" t="n">
        <f aca="false">SUM(K2:K31)</f>
        <v>11825000</v>
      </c>
      <c r="L33" s="18" t="n">
        <f aca="false">SUM(L2:L31)</f>
        <v>175179634</v>
      </c>
      <c r="M33" s="18" t="n">
        <f aca="false">SUM(M2:M31)</f>
        <v>3225324</v>
      </c>
      <c r="N33" s="18" t="n">
        <f aca="false">SUM(N2:N31)</f>
        <v>951585</v>
      </c>
      <c r="O33" s="19" t="n">
        <f aca="false">SUMPRODUCT(O2:O31,$K2:$K31)/SUM($K2:$K31)</f>
        <v>14.8143453699789</v>
      </c>
      <c r="P33" s="18" t="n">
        <f aca="false">SUM(P2:P31)</f>
        <v>5565.5</v>
      </c>
      <c r="Q33" s="18" t="n">
        <f aca="false">SUM(Q2:Q31)</f>
        <v>31532.33412</v>
      </c>
      <c r="R33" s="18" t="n">
        <f aca="false">SUM(R2:R31)</f>
        <v>26716.4</v>
      </c>
      <c r="S33" s="18" t="n">
        <f aca="false">SUM(S2:S31)</f>
        <v>10334416.3</v>
      </c>
      <c r="T33" s="18" t="n">
        <f aca="false">SUM(T2:T31)</f>
        <v>66364001</v>
      </c>
      <c r="U33" s="18" t="n">
        <f aca="false">SUM(U2:U31)</f>
        <v>1403061</v>
      </c>
      <c r="V33" s="20" t="n">
        <f aca="false">SUMPRODUCT(V2:V31,$K2:$K31)/SUM($K2:$K31)</f>
        <v>0.506341141649049</v>
      </c>
      <c r="W33" s="15"/>
      <c r="X33" s="15"/>
      <c r="Y33" s="15"/>
      <c r="Z33" s="20" t="n">
        <f aca="false">SUMPRODUCT(Z2:Z31,$K2:$K31)/SUM($K2:$K31)</f>
        <v>0.746767272727273</v>
      </c>
      <c r="AA33" s="21" t="n">
        <f aca="false">SUMPRODUCT(AA2:AA31,$K2:$K31)/SUM($K2:$K31)</f>
        <v>69.083044397463</v>
      </c>
      <c r="AB33" s="15"/>
      <c r="AC33" s="15"/>
      <c r="AD33" s="15"/>
      <c r="AE33" s="15" t="str">
        <f aca="false">COUNTIF(AE2:AE31,"Y")&amp;" of "&amp;COUNTA(AE2:AE31)&amp;" complete"</f>
        <v>22 of 30 complete</v>
      </c>
    </row>
  </sheetData>
  <autoFilter ref="A1:AE31"/>
  <mergeCells count="2">
    <mergeCell ref="AF2:AG2"/>
    <mergeCell ref="AF4:A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4"/>
    <col collapsed="false" customWidth="true" hidden="false" outlineLevel="0" max="4" min="4" style="0" width="10"/>
    <col collapsed="false" customWidth="true" hidden="false" outlineLevel="0" max="5" min="5" style="0" width="15"/>
    <col collapsed="false" customWidth="true" hidden="false" outlineLevel="0" max="6" min="6" style="0" width="13"/>
    <col collapsed="false" customWidth="true" hidden="false" outlineLevel="0" max="7" min="7" style="0" width="11"/>
    <col collapsed="false" customWidth="true" hidden="false" outlineLevel="0" max="8" min="8" style="0" width="13"/>
    <col collapsed="false" customWidth="true" hidden="false" outlineLevel="0" max="9" min="9" style="0" width="12"/>
    <col collapsed="false" customWidth="true" hidden="false" outlineLevel="0" max="10" min="10" style="0" width="10"/>
    <col collapsed="false" customWidth="true" hidden="false" outlineLevel="0" max="11" min="11" style="0" width="15"/>
    <col collapsed="false" customWidth="true" hidden="false" outlineLevel="0" max="12" min="12" style="0" width="14"/>
    <col collapsed="false" customWidth="true" hidden="false" outlineLevel="0" max="13" min="13" style="0" width="12"/>
    <col collapsed="false" customWidth="true" hidden="false" outlineLevel="0" max="16" min="16" style="0" width="40"/>
    <col collapsed="false" customWidth="true" hidden="false" outlineLevel="0" max="17" min="17" style="0" width="12"/>
  </cols>
  <sheetData>
    <row r="1" customFormat="false" ht="30" hidden="false" customHeight="true" outlineLevel="0" collapsed="false">
      <c r="A1" s="2" t="s">
        <v>0</v>
      </c>
      <c r="B1" s="2" t="s">
        <v>1</v>
      </c>
      <c r="C1" s="2" t="s">
        <v>236</v>
      </c>
      <c r="D1" s="2" t="s">
        <v>237</v>
      </c>
      <c r="E1" s="2" t="s">
        <v>238</v>
      </c>
      <c r="F1" s="2" t="s">
        <v>239</v>
      </c>
      <c r="G1" s="2" t="s">
        <v>240</v>
      </c>
      <c r="H1" s="2" t="s">
        <v>241</v>
      </c>
      <c r="I1" s="2" t="s">
        <v>242</v>
      </c>
      <c r="J1" s="2" t="s">
        <v>243</v>
      </c>
      <c r="K1" s="2" t="s">
        <v>244</v>
      </c>
      <c r="L1" s="2" t="s">
        <v>245</v>
      </c>
      <c r="M1" s="2" t="s">
        <v>246</v>
      </c>
      <c r="P1" s="22" t="s">
        <v>30</v>
      </c>
    </row>
    <row r="2" customFormat="false" ht="15" hidden="false" customHeight="false" outlineLevel="0" collapsed="false">
      <c r="A2" s="4" t="s">
        <v>31</v>
      </c>
      <c r="B2" s="4" t="s">
        <v>32</v>
      </c>
      <c r="C2" s="4" t="s">
        <v>247</v>
      </c>
      <c r="D2" s="4" t="s">
        <v>248</v>
      </c>
      <c r="E2" s="4" t="s">
        <v>249</v>
      </c>
      <c r="F2" s="23" t="n">
        <v>657.4</v>
      </c>
      <c r="G2" s="4" t="n">
        <v>2019</v>
      </c>
      <c r="H2" s="23" t="n">
        <f aca="false">'Asset-Level Data'!P2+'Asset-Level Data'!Q2</f>
        <v>527.13076</v>
      </c>
      <c r="I2" s="23" t="n">
        <f aca="false">F2*(1-$Q$3)</f>
        <v>394.44</v>
      </c>
      <c r="J2" s="4" t="n">
        <v>2030</v>
      </c>
      <c r="K2" s="9" t="n">
        <f aca="false">(F2-H2)/(F2-I2)</f>
        <v>0.495395649528445</v>
      </c>
      <c r="L2" s="23" t="n">
        <f aca="false">H2-I2</f>
        <v>132.69076</v>
      </c>
      <c r="M2" s="4" t="str">
        <f aca="false">IF(K2&gt;=1,"Target Met",IF(K2&gt;=0.75,"On Track",IF(K2&gt;=0.4,"At Risk","Off Track")))</f>
        <v>At Risk</v>
      </c>
      <c r="P2" s="24" t="s">
        <v>250</v>
      </c>
    </row>
    <row r="3" customFormat="false" ht="15" hidden="false" customHeight="false" outlineLevel="0" collapsed="false">
      <c r="A3" s="4" t="s">
        <v>44</v>
      </c>
      <c r="B3" s="4" t="s">
        <v>45</v>
      </c>
      <c r="C3" s="4" t="s">
        <v>247</v>
      </c>
      <c r="D3" s="4" t="s">
        <v>248</v>
      </c>
      <c r="E3" s="4" t="s">
        <v>249</v>
      </c>
      <c r="F3" s="23" t="n">
        <v>985</v>
      </c>
      <c r="G3" s="4" t="n">
        <v>2019</v>
      </c>
      <c r="H3" s="23" t="n">
        <f aca="false">'Asset-Level Data'!P3+'Asset-Level Data'!Q3</f>
        <v>824.10586</v>
      </c>
      <c r="I3" s="23" t="n">
        <f aca="false">F3*(1-$Q$3)</f>
        <v>591</v>
      </c>
      <c r="J3" s="4" t="n">
        <v>2030</v>
      </c>
      <c r="K3" s="9" t="n">
        <f aca="false">(F3-H3)/(F3-I3)</f>
        <v>0.40836076142132</v>
      </c>
      <c r="L3" s="23" t="n">
        <f aca="false">H3-I3</f>
        <v>233.10586</v>
      </c>
      <c r="M3" s="4" t="str">
        <f aca="false">IF(K3&gt;=1,"Target Met",IF(K3&gt;=0.75,"On Track",IF(K3&gt;=0.4,"At Risk","Off Track")))</f>
        <v>At Risk</v>
      </c>
      <c r="P3" s="25" t="s">
        <v>251</v>
      </c>
      <c r="Q3" s="26" t="n">
        <v>0.4</v>
      </c>
    </row>
    <row r="4" customFormat="false" ht="15" hidden="false" customHeight="false" outlineLevel="0" collapsed="false">
      <c r="A4" s="4" t="s">
        <v>54</v>
      </c>
      <c r="B4" s="4" t="s">
        <v>55</v>
      </c>
      <c r="C4" s="4" t="s">
        <v>247</v>
      </c>
      <c r="D4" s="4" t="s">
        <v>248</v>
      </c>
      <c r="E4" s="4" t="s">
        <v>249</v>
      </c>
      <c r="F4" s="23" t="n">
        <v>1328.6</v>
      </c>
      <c r="G4" s="4" t="n">
        <v>2019</v>
      </c>
      <c r="H4" s="23" t="n">
        <f aca="false">'Asset-Level Data'!P4+'Asset-Level Data'!Q4</f>
        <v>987.60002</v>
      </c>
      <c r="I4" s="23" t="n">
        <f aca="false">F4*(1-$Q$3)</f>
        <v>797.16</v>
      </c>
      <c r="J4" s="4" t="n">
        <v>2030</v>
      </c>
      <c r="K4" s="9" t="n">
        <f aca="false">(F4-H4)/(F4-I4)</f>
        <v>0.641652830046666</v>
      </c>
      <c r="L4" s="23" t="n">
        <f aca="false">H4-I4</f>
        <v>190.44002</v>
      </c>
      <c r="M4" s="4" t="str">
        <f aca="false">IF(K4&gt;=1,"Target Met",IF(K4&gt;=0.75,"On Track",IF(K4&gt;=0.4,"At Risk","Off Track")))</f>
        <v>At Risk</v>
      </c>
      <c r="P4" s="25" t="s">
        <v>252</v>
      </c>
      <c r="Q4" s="26" t="n">
        <v>0.2</v>
      </c>
    </row>
    <row r="5" customFormat="false" ht="15" hidden="false" customHeight="false" outlineLevel="0" collapsed="false">
      <c r="A5" s="4" t="s">
        <v>63</v>
      </c>
      <c r="B5" s="4" t="s">
        <v>64</v>
      </c>
      <c r="C5" s="4" t="s">
        <v>247</v>
      </c>
      <c r="D5" s="4" t="s">
        <v>248</v>
      </c>
      <c r="E5" s="4" t="s">
        <v>249</v>
      </c>
      <c r="F5" s="23" t="n">
        <v>845</v>
      </c>
      <c r="G5" s="4" t="n">
        <v>2019</v>
      </c>
      <c r="H5" s="23" t="n">
        <f aca="false">'Asset-Level Data'!P5+'Asset-Level Data'!Q5</f>
        <v>721.12016</v>
      </c>
      <c r="I5" s="23" t="n">
        <f aca="false">F5*(1-$Q$3)</f>
        <v>507</v>
      </c>
      <c r="J5" s="4" t="n">
        <v>2030</v>
      </c>
      <c r="K5" s="9" t="n">
        <f aca="false">(F5-H5)/(F5-I5)</f>
        <v>0.366508402366864</v>
      </c>
      <c r="L5" s="23" t="n">
        <f aca="false">H5-I5</f>
        <v>214.12016</v>
      </c>
      <c r="M5" s="4" t="str">
        <f aca="false">IF(K5&gt;=1,"Target Met",IF(K5&gt;=0.75,"On Track",IF(K5&gt;=0.4,"At Risk","Off Track")))</f>
        <v>Off Track</v>
      </c>
      <c r="P5" s="25" t="s">
        <v>253</v>
      </c>
      <c r="Q5" s="26" t="n">
        <v>0.15</v>
      </c>
    </row>
    <row r="6" customFormat="false" ht="15" hidden="false" customHeight="false" outlineLevel="0" collapsed="false">
      <c r="A6" s="4" t="s">
        <v>72</v>
      </c>
      <c r="B6" s="4" t="s">
        <v>73</v>
      </c>
      <c r="C6" s="4" t="s">
        <v>247</v>
      </c>
      <c r="D6" s="4" t="s">
        <v>248</v>
      </c>
      <c r="E6" s="4" t="s">
        <v>249</v>
      </c>
      <c r="F6" s="23" t="n">
        <v>993.5</v>
      </c>
      <c r="G6" s="4" t="n">
        <v>2019</v>
      </c>
      <c r="H6" s="23" t="n">
        <f aca="false">'Asset-Level Data'!P6+'Asset-Level Data'!Q6</f>
        <v>757.94096</v>
      </c>
      <c r="I6" s="23" t="n">
        <f aca="false">F6*(1-$Q$3)</f>
        <v>596.1</v>
      </c>
      <c r="J6" s="4" t="n">
        <v>2030</v>
      </c>
      <c r="K6" s="9" t="n">
        <f aca="false">(F6-H6)/(F6-I6)</f>
        <v>0.5927504781077</v>
      </c>
      <c r="L6" s="23" t="n">
        <f aca="false">H6-I6</f>
        <v>161.84096</v>
      </c>
      <c r="M6" s="4" t="str">
        <f aca="false">IF(K6&gt;=1,"Target Met",IF(K6&gt;=0.75,"On Track",IF(K6&gt;=0.4,"At Risk","Off Track")))</f>
        <v>At Risk</v>
      </c>
      <c r="P6" s="24" t="s">
        <v>254</v>
      </c>
    </row>
    <row r="7" customFormat="false" ht="15" hidden="false" customHeight="false" outlineLevel="0" collapsed="false">
      <c r="A7" s="4" t="s">
        <v>82</v>
      </c>
      <c r="B7" s="4" t="s">
        <v>83</v>
      </c>
      <c r="C7" s="4" t="s">
        <v>247</v>
      </c>
      <c r="D7" s="4" t="s">
        <v>248</v>
      </c>
      <c r="E7" s="4" t="s">
        <v>249</v>
      </c>
      <c r="F7" s="23" t="n">
        <v>1704.3</v>
      </c>
      <c r="G7" s="4" t="n">
        <v>2019</v>
      </c>
      <c r="H7" s="23" t="n">
        <f aca="false">'Asset-Level Data'!P7+'Asset-Level Data'!Q7</f>
        <v>1352.91436</v>
      </c>
      <c r="I7" s="23" t="n">
        <f aca="false">F7*(1-$Q$3)</f>
        <v>1022.58</v>
      </c>
      <c r="J7" s="4" t="n">
        <v>2030</v>
      </c>
      <c r="K7" s="9" t="n">
        <f aca="false">(F7-H7)/(F7-I7)</f>
        <v>0.515439828668661</v>
      </c>
      <c r="L7" s="23" t="n">
        <f aca="false">H7-I7</f>
        <v>330.33436</v>
      </c>
      <c r="M7" s="4" t="str">
        <f aca="false">IF(K7&gt;=1,"Target Met",IF(K7&gt;=0.75,"On Track",IF(K7&gt;=0.4,"At Risk","Off Track")))</f>
        <v>At Risk</v>
      </c>
      <c r="P7" s="25" t="s">
        <v>255</v>
      </c>
      <c r="Q7" s="26" t="n">
        <v>0.75</v>
      </c>
    </row>
    <row r="8" customFormat="false" ht="15" hidden="false" customHeight="false" outlineLevel="0" collapsed="false">
      <c r="A8" s="4" t="s">
        <v>89</v>
      </c>
      <c r="B8" s="4" t="s">
        <v>90</v>
      </c>
      <c r="C8" s="4" t="s">
        <v>247</v>
      </c>
      <c r="D8" s="4" t="s">
        <v>248</v>
      </c>
      <c r="E8" s="4" t="s">
        <v>249</v>
      </c>
      <c r="F8" s="23" t="n">
        <v>520.5</v>
      </c>
      <c r="G8" s="4" t="n">
        <v>2019</v>
      </c>
      <c r="H8" s="23" t="n">
        <f aca="false">'Asset-Level Data'!P8+'Asset-Level Data'!Q8</f>
        <v>445.90256</v>
      </c>
      <c r="I8" s="23" t="n">
        <f aca="false">F8*(1-$Q$3)</f>
        <v>312.3</v>
      </c>
      <c r="J8" s="4" t="n">
        <v>2030</v>
      </c>
      <c r="K8" s="9" t="n">
        <f aca="false">(F8-H8)/(F8-I8)</f>
        <v>0.35829702209414</v>
      </c>
      <c r="L8" s="23" t="n">
        <f aca="false">H8-I8</f>
        <v>133.60256</v>
      </c>
      <c r="M8" s="4" t="str">
        <f aca="false">IF(K8&gt;=1,"Target Met",IF(K8&gt;=0.75,"On Track",IF(K8&gt;=0.4,"At Risk","Off Track")))</f>
        <v>Off Track</v>
      </c>
      <c r="P8" s="25" t="s">
        <v>256</v>
      </c>
      <c r="Q8" s="26" t="n">
        <v>75</v>
      </c>
    </row>
    <row r="9" customFormat="false" ht="15" hidden="false" customHeight="false" outlineLevel="0" collapsed="false">
      <c r="A9" s="4" t="s">
        <v>95</v>
      </c>
      <c r="B9" s="4" t="s">
        <v>96</v>
      </c>
      <c r="C9" s="4" t="s">
        <v>247</v>
      </c>
      <c r="D9" s="4" t="s">
        <v>248</v>
      </c>
      <c r="E9" s="4" t="s">
        <v>249</v>
      </c>
      <c r="F9" s="23" t="n">
        <v>1179</v>
      </c>
      <c r="G9" s="4" t="n">
        <v>2019</v>
      </c>
      <c r="H9" s="23" t="n">
        <f aca="false">'Asset-Level Data'!P9+'Asset-Level Data'!Q9</f>
        <v>905.40122</v>
      </c>
      <c r="I9" s="23" t="n">
        <f aca="false">F9*(1-$Q$3)</f>
        <v>707.4</v>
      </c>
      <c r="J9" s="4" t="n">
        <v>2030</v>
      </c>
      <c r="K9" s="9" t="n">
        <f aca="false">(F9-H9)/(F9-I9)</f>
        <v>0.580150084817642</v>
      </c>
      <c r="L9" s="23" t="n">
        <f aca="false">H9-I9</f>
        <v>198.00122</v>
      </c>
      <c r="M9" s="4" t="str">
        <f aca="false">IF(K9&gt;=1,"Target Met",IF(K9&gt;=0.75,"On Track",IF(K9&gt;=0.4,"At Risk","Off Track")))</f>
        <v>At Risk</v>
      </c>
      <c r="P9" s="25" t="s">
        <v>257</v>
      </c>
      <c r="Q9" s="26" t="n">
        <v>0.75</v>
      </c>
    </row>
    <row r="10" customFormat="false" ht="22.35" hidden="false" customHeight="true" outlineLevel="0" collapsed="false">
      <c r="A10" s="4" t="s">
        <v>101</v>
      </c>
      <c r="B10" s="4" t="s">
        <v>102</v>
      </c>
      <c r="C10" s="4" t="s">
        <v>247</v>
      </c>
      <c r="D10" s="4" t="s">
        <v>248</v>
      </c>
      <c r="E10" s="4" t="s">
        <v>249</v>
      </c>
      <c r="F10" s="23" t="n">
        <v>1390.5</v>
      </c>
      <c r="G10" s="4" t="n">
        <v>2019</v>
      </c>
      <c r="H10" s="23" t="n">
        <f aca="false">'Asset-Level Data'!P10+'Asset-Level Data'!Q10</f>
        <v>1197.40836</v>
      </c>
      <c r="I10" s="23" t="n">
        <f aca="false">F10*(1-$Q$3)</f>
        <v>834.3</v>
      </c>
      <c r="J10" s="4" t="n">
        <v>2030</v>
      </c>
      <c r="K10" s="9" t="n">
        <f aca="false">(F10-H10)/(F10-I10)</f>
        <v>0.347162243797195</v>
      </c>
      <c r="L10" s="23" t="n">
        <f aca="false">H10-I10</f>
        <v>363.10836</v>
      </c>
      <c r="M10" s="4" t="str">
        <f aca="false">IF(K10&gt;=1,"Target Met",IF(K10&gt;=0.75,"On Track",IF(K10&gt;=0.4,"At Risk","Off Track")))</f>
        <v>Off Track</v>
      </c>
      <c r="P10" s="14" t="s">
        <v>258</v>
      </c>
      <c r="Q10" s="14"/>
    </row>
    <row r="11" customFormat="false" ht="15" hidden="false" customHeight="false" outlineLevel="0" collapsed="false">
      <c r="A11" s="4" t="s">
        <v>106</v>
      </c>
      <c r="B11" s="4" t="s">
        <v>107</v>
      </c>
      <c r="C11" s="4" t="s">
        <v>247</v>
      </c>
      <c r="D11" s="4" t="s">
        <v>248</v>
      </c>
      <c r="E11" s="4" t="s">
        <v>249</v>
      </c>
      <c r="F11" s="23" t="n">
        <v>1381.6</v>
      </c>
      <c r="G11" s="4" t="n">
        <v>2019</v>
      </c>
      <c r="H11" s="23" t="n">
        <f aca="false">'Asset-Level Data'!P11+'Asset-Level Data'!Q11</f>
        <v>1079.31704</v>
      </c>
      <c r="I11" s="23" t="n">
        <f aca="false">F11*(1-$Q$3)</f>
        <v>828.96</v>
      </c>
      <c r="J11" s="4" t="n">
        <v>2030</v>
      </c>
      <c r="K11" s="9" t="n">
        <f aca="false">(F11-H11)/(F11-I11)</f>
        <v>0.546979878401853</v>
      </c>
      <c r="L11" s="23" t="n">
        <f aca="false">H11-I11</f>
        <v>250.35704</v>
      </c>
      <c r="M11" s="4" t="str">
        <f aca="false">IF(K11&gt;=1,"Target Met",IF(K11&gt;=0.75,"On Track",IF(K11&gt;=0.4,"At Risk","Off Track")))</f>
        <v>At Risk</v>
      </c>
    </row>
    <row r="12" customFormat="false" ht="15" hidden="false" customHeight="false" outlineLevel="0" collapsed="false">
      <c r="A12" s="4" t="s">
        <v>112</v>
      </c>
      <c r="B12" s="4" t="s">
        <v>113</v>
      </c>
      <c r="C12" s="4" t="s">
        <v>247</v>
      </c>
      <c r="D12" s="4" t="s">
        <v>248</v>
      </c>
      <c r="E12" s="4" t="s">
        <v>249</v>
      </c>
      <c r="F12" s="23" t="n">
        <v>295.2</v>
      </c>
      <c r="G12" s="4" t="n">
        <v>2019</v>
      </c>
      <c r="H12" s="23" t="n">
        <f aca="false">'Asset-Level Data'!P12+'Asset-Level Data'!Q12</f>
        <v>252.10384</v>
      </c>
      <c r="I12" s="23" t="n">
        <f aca="false">F12*(1-$Q$3)</f>
        <v>177.12</v>
      </c>
      <c r="J12" s="4" t="n">
        <v>2030</v>
      </c>
      <c r="K12" s="9" t="n">
        <f aca="false">(F12-H12)/(F12-I12)</f>
        <v>0.364974254742547</v>
      </c>
      <c r="L12" s="23" t="n">
        <f aca="false">H12-I12</f>
        <v>74.98384</v>
      </c>
      <c r="M12" s="4" t="str">
        <f aca="false">IF(K12&gt;=1,"Target Met",IF(K12&gt;=0.75,"On Track",IF(K12&gt;=0.4,"At Risk","Off Track")))</f>
        <v>Off Track</v>
      </c>
    </row>
    <row r="13" customFormat="false" ht="15" hidden="false" customHeight="false" outlineLevel="0" collapsed="false">
      <c r="A13" s="4" t="s">
        <v>119</v>
      </c>
      <c r="B13" s="4" t="s">
        <v>120</v>
      </c>
      <c r="C13" s="4" t="s">
        <v>247</v>
      </c>
      <c r="D13" s="4" t="s">
        <v>248</v>
      </c>
      <c r="E13" s="4" t="s">
        <v>249</v>
      </c>
      <c r="F13" s="23" t="n">
        <v>1316.3</v>
      </c>
      <c r="G13" s="4" t="n">
        <v>2019</v>
      </c>
      <c r="H13" s="23" t="n">
        <f aca="false">'Asset-Level Data'!P13+'Asset-Level Data'!Q13</f>
        <v>1118.14454</v>
      </c>
      <c r="I13" s="23" t="n">
        <f aca="false">F13*(1-$Q$3)</f>
        <v>789.78</v>
      </c>
      <c r="J13" s="4" t="n">
        <v>2030</v>
      </c>
      <c r="K13" s="9" t="n">
        <f aca="false">(F13-H13)/(F13-I13)</f>
        <v>0.376349350452025</v>
      </c>
      <c r="L13" s="23" t="n">
        <f aca="false">H13-I13</f>
        <v>328.36454</v>
      </c>
      <c r="M13" s="4" t="str">
        <f aca="false">IF(K13&gt;=1,"Target Met",IF(K13&gt;=0.75,"On Track",IF(K13&gt;=0.4,"At Risk","Off Track")))</f>
        <v>Off Track</v>
      </c>
    </row>
    <row r="14" customFormat="false" ht="15" hidden="false" customHeight="false" outlineLevel="0" collapsed="false">
      <c r="A14" s="4" t="s">
        <v>125</v>
      </c>
      <c r="B14" s="4" t="s">
        <v>126</v>
      </c>
      <c r="C14" s="4" t="s">
        <v>247</v>
      </c>
      <c r="D14" s="4" t="s">
        <v>248</v>
      </c>
      <c r="E14" s="4" t="s">
        <v>249</v>
      </c>
      <c r="F14" s="23" t="n">
        <v>1942.6</v>
      </c>
      <c r="G14" s="4" t="n">
        <v>2019</v>
      </c>
      <c r="H14" s="23" t="n">
        <f aca="false">'Asset-Level Data'!P14+'Asset-Level Data'!Q14</f>
        <v>1520.83188</v>
      </c>
      <c r="I14" s="23" t="n">
        <f aca="false">F14*(1-$Q$3)</f>
        <v>1165.56</v>
      </c>
      <c r="J14" s="4" t="n">
        <v>2030</v>
      </c>
      <c r="K14" s="9" t="n">
        <f aca="false">(F14-H14)/(F14-I14)</f>
        <v>0.542788170493153</v>
      </c>
      <c r="L14" s="23" t="n">
        <f aca="false">H14-I14</f>
        <v>355.27188</v>
      </c>
      <c r="M14" s="4" t="str">
        <f aca="false">IF(K14&gt;=1,"Target Met",IF(K14&gt;=0.75,"On Track",IF(K14&gt;=0.4,"At Risk","Off Track")))</f>
        <v>At Risk</v>
      </c>
    </row>
    <row r="15" customFormat="false" ht="15" hidden="false" customHeight="false" outlineLevel="0" collapsed="false">
      <c r="A15" s="4" t="s">
        <v>131</v>
      </c>
      <c r="B15" s="4" t="s">
        <v>132</v>
      </c>
      <c r="C15" s="4" t="s">
        <v>247</v>
      </c>
      <c r="D15" s="4" t="s">
        <v>248</v>
      </c>
      <c r="E15" s="4" t="s">
        <v>249</v>
      </c>
      <c r="F15" s="23" t="n">
        <v>1609</v>
      </c>
      <c r="G15" s="4" t="n">
        <v>2019</v>
      </c>
      <c r="H15" s="23" t="n">
        <f aca="false">'Asset-Level Data'!P15+'Asset-Level Data'!Q15</f>
        <v>1150.87046</v>
      </c>
      <c r="I15" s="23" t="n">
        <f aca="false">F15*(1-$Q$3)</f>
        <v>965.4</v>
      </c>
      <c r="J15" s="4" t="n">
        <v>2030</v>
      </c>
      <c r="K15" s="9" t="n">
        <f aca="false">(F15-H15)/(F15-I15)</f>
        <v>0.711823399627097</v>
      </c>
      <c r="L15" s="23" t="n">
        <f aca="false">H15-I15</f>
        <v>185.47046</v>
      </c>
      <c r="M15" s="4" t="str">
        <f aca="false">IF(K15&gt;=1,"Target Met",IF(K15&gt;=0.75,"On Track",IF(K15&gt;=0.4,"At Risk","Off Track")))</f>
        <v>At Risk</v>
      </c>
    </row>
    <row r="16" customFormat="false" ht="15" hidden="false" customHeight="false" outlineLevel="0" collapsed="false">
      <c r="A16" s="4" t="s">
        <v>136</v>
      </c>
      <c r="B16" s="4" t="s">
        <v>137</v>
      </c>
      <c r="C16" s="4" t="s">
        <v>247</v>
      </c>
      <c r="D16" s="4" t="s">
        <v>248</v>
      </c>
      <c r="E16" s="4" t="s">
        <v>249</v>
      </c>
      <c r="F16" s="23" t="n">
        <v>850.8</v>
      </c>
      <c r="G16" s="4" t="n">
        <v>2019</v>
      </c>
      <c r="H16" s="23" t="n">
        <f aca="false">'Asset-Level Data'!P16+'Asset-Level Data'!Q16</f>
        <v>716.68488</v>
      </c>
      <c r="I16" s="23" t="n">
        <f aca="false">F16*(1-$Q$3)</f>
        <v>510.48</v>
      </c>
      <c r="J16" s="4" t="n">
        <v>2030</v>
      </c>
      <c r="K16" s="9" t="n">
        <f aca="false">(F16-H16)/(F16-I16)</f>
        <v>0.39408533145275</v>
      </c>
      <c r="L16" s="23" t="n">
        <f aca="false">H16-I16</f>
        <v>206.20488</v>
      </c>
      <c r="M16" s="4" t="str">
        <f aca="false">IF(K16&gt;=1,"Target Met",IF(K16&gt;=0.75,"On Track",IF(K16&gt;=0.4,"At Risk","Off Track")))</f>
        <v>Off Track</v>
      </c>
    </row>
    <row r="17" customFormat="false" ht="15" hidden="false" customHeight="false" outlineLevel="0" collapsed="false">
      <c r="A17" s="4" t="s">
        <v>142</v>
      </c>
      <c r="B17" s="4" t="s">
        <v>143</v>
      </c>
      <c r="C17" s="4" t="s">
        <v>247</v>
      </c>
      <c r="D17" s="4" t="s">
        <v>248</v>
      </c>
      <c r="E17" s="4" t="s">
        <v>249</v>
      </c>
      <c r="F17" s="23" t="n">
        <v>2401.4</v>
      </c>
      <c r="G17" s="4" t="n">
        <v>2019</v>
      </c>
      <c r="H17" s="23" t="n">
        <f aca="false">'Asset-Level Data'!P17+'Asset-Level Data'!Q17</f>
        <v>1973.2386</v>
      </c>
      <c r="I17" s="23" t="n">
        <f aca="false">F17*(1-$Q$3)</f>
        <v>1440.84</v>
      </c>
      <c r="J17" s="4" t="n">
        <v>2030</v>
      </c>
      <c r="K17" s="9" t="n">
        <f aca="false">(F17-H17)/(F17-I17)</f>
        <v>0.44574144249188</v>
      </c>
      <c r="L17" s="23" t="n">
        <f aca="false">H17-I17</f>
        <v>532.3986</v>
      </c>
      <c r="M17" s="4" t="str">
        <f aca="false">IF(K17&gt;=1,"Target Met",IF(K17&gt;=0.75,"On Track",IF(K17&gt;=0.4,"At Risk","Off Track")))</f>
        <v>At Risk</v>
      </c>
    </row>
    <row r="18" customFormat="false" ht="15" hidden="false" customHeight="false" outlineLevel="0" collapsed="false">
      <c r="A18" s="4" t="s">
        <v>148</v>
      </c>
      <c r="B18" s="4" t="s">
        <v>149</v>
      </c>
      <c r="C18" s="4" t="s">
        <v>247</v>
      </c>
      <c r="D18" s="4" t="s">
        <v>248</v>
      </c>
      <c r="E18" s="4" t="s">
        <v>249</v>
      </c>
      <c r="F18" s="23" t="n">
        <v>1522.9</v>
      </c>
      <c r="G18" s="4" t="n">
        <v>2019</v>
      </c>
      <c r="H18" s="23" t="n">
        <f aca="false">'Asset-Level Data'!P18+'Asset-Level Data'!Q18</f>
        <v>1137.98012</v>
      </c>
      <c r="I18" s="23" t="n">
        <f aca="false">F18*(1-$Q$3)</f>
        <v>913.74</v>
      </c>
      <c r="J18" s="4" t="n">
        <v>2030</v>
      </c>
      <c r="K18" s="9" t="n">
        <f aca="false">(F18-H18)/(F18-I18)</f>
        <v>0.631886335281371</v>
      </c>
      <c r="L18" s="23" t="n">
        <f aca="false">H18-I18</f>
        <v>224.24012</v>
      </c>
      <c r="M18" s="4" t="str">
        <f aca="false">IF(K18&gt;=1,"Target Met",IF(K18&gt;=0.75,"On Track",IF(K18&gt;=0.4,"At Risk","Off Track")))</f>
        <v>At Risk</v>
      </c>
    </row>
    <row r="19" customFormat="false" ht="15" hidden="false" customHeight="false" outlineLevel="0" collapsed="false">
      <c r="A19" s="4" t="s">
        <v>155</v>
      </c>
      <c r="B19" s="4" t="s">
        <v>156</v>
      </c>
      <c r="C19" s="4" t="s">
        <v>247</v>
      </c>
      <c r="D19" s="4" t="s">
        <v>248</v>
      </c>
      <c r="E19" s="4" t="s">
        <v>249</v>
      </c>
      <c r="F19" s="23" t="n">
        <v>301.2</v>
      </c>
      <c r="G19" s="4" t="n">
        <v>2019</v>
      </c>
      <c r="H19" s="23" t="n">
        <f aca="false">'Asset-Level Data'!P19+'Asset-Level Data'!Q19</f>
        <v>210.02412</v>
      </c>
      <c r="I19" s="23" t="n">
        <f aca="false">F19*(1-$Q$3)</f>
        <v>180.72</v>
      </c>
      <c r="J19" s="4" t="n">
        <v>2030</v>
      </c>
      <c r="K19" s="9" t="n">
        <f aca="false">(F19-H19)/(F19-I19)</f>
        <v>0.756771912350598</v>
      </c>
      <c r="L19" s="23" t="n">
        <f aca="false">H19-I19</f>
        <v>29.30412</v>
      </c>
      <c r="M19" s="4" t="str">
        <f aca="false">IF(K19&gt;=1,"Target Met",IF(K19&gt;=0.75,"On Track",IF(K19&gt;=0.4,"At Risk","Off Track")))</f>
        <v>On Track</v>
      </c>
    </row>
    <row r="20" customFormat="false" ht="15" hidden="false" customHeight="false" outlineLevel="0" collapsed="false">
      <c r="A20" s="4" t="s">
        <v>161</v>
      </c>
      <c r="B20" s="4" t="s">
        <v>162</v>
      </c>
      <c r="C20" s="4" t="s">
        <v>247</v>
      </c>
      <c r="D20" s="4" t="s">
        <v>248</v>
      </c>
      <c r="E20" s="4" t="s">
        <v>249</v>
      </c>
      <c r="F20" s="23" t="n">
        <v>1369</v>
      </c>
      <c r="G20" s="4" t="n">
        <v>2019</v>
      </c>
      <c r="H20" s="23" t="n">
        <f aca="false">'Asset-Level Data'!P20+'Asset-Level Data'!Q20</f>
        <v>1034.68234</v>
      </c>
      <c r="I20" s="23" t="n">
        <f aca="false">F20*(1-$Q$3)</f>
        <v>821.4</v>
      </c>
      <c r="J20" s="4" t="n">
        <v>2030</v>
      </c>
      <c r="K20" s="9" t="n">
        <f aca="false">(F20-H20)/(F20-I20)</f>
        <v>0.610514353542732</v>
      </c>
      <c r="L20" s="23" t="n">
        <f aca="false">H20-I20</f>
        <v>213.28234</v>
      </c>
      <c r="M20" s="4" t="str">
        <f aca="false">IF(K20&gt;=1,"Target Met",IF(K20&gt;=0.75,"On Track",IF(K20&gt;=0.4,"At Risk","Off Track")))</f>
        <v>At Risk</v>
      </c>
    </row>
    <row r="21" customFormat="false" ht="15" hidden="false" customHeight="false" outlineLevel="0" collapsed="false">
      <c r="A21" s="4" t="s">
        <v>167</v>
      </c>
      <c r="B21" s="4" t="s">
        <v>168</v>
      </c>
      <c r="C21" s="4" t="s">
        <v>247</v>
      </c>
      <c r="D21" s="4" t="s">
        <v>248</v>
      </c>
      <c r="E21" s="4" t="s">
        <v>249</v>
      </c>
      <c r="F21" s="23" t="n">
        <v>2134.4</v>
      </c>
      <c r="G21" s="4" t="n">
        <v>2019</v>
      </c>
      <c r="H21" s="23" t="n">
        <f aca="false">'Asset-Level Data'!P21+'Asset-Level Data'!Q21</f>
        <v>1681.92402</v>
      </c>
      <c r="I21" s="23" t="n">
        <f aca="false">F21*(1-$Q$3)</f>
        <v>1280.64</v>
      </c>
      <c r="J21" s="4" t="n">
        <v>2030</v>
      </c>
      <c r="K21" s="9" t="n">
        <f aca="false">(F21-H21)/(F21-I21)</f>
        <v>0.529980298913043</v>
      </c>
      <c r="L21" s="23" t="n">
        <f aca="false">H21-I21</f>
        <v>401.28402</v>
      </c>
      <c r="M21" s="4" t="str">
        <f aca="false">IF(K21&gt;=1,"Target Met",IF(K21&gt;=0.75,"On Track",IF(K21&gt;=0.4,"At Risk","Off Track")))</f>
        <v>At Risk</v>
      </c>
    </row>
    <row r="22" customFormat="false" ht="15" hidden="false" customHeight="false" outlineLevel="0" collapsed="false">
      <c r="A22" s="4" t="s">
        <v>174</v>
      </c>
      <c r="B22" s="4" t="s">
        <v>175</v>
      </c>
      <c r="C22" s="4" t="s">
        <v>247</v>
      </c>
      <c r="D22" s="4" t="s">
        <v>248</v>
      </c>
      <c r="E22" s="4" t="s">
        <v>249</v>
      </c>
      <c r="F22" s="23" t="n">
        <v>2154</v>
      </c>
      <c r="G22" s="4" t="n">
        <v>2019</v>
      </c>
      <c r="H22" s="23" t="n">
        <f aca="false">'Asset-Level Data'!P22+'Asset-Level Data'!Q22</f>
        <v>1492.85206</v>
      </c>
      <c r="I22" s="23" t="n">
        <f aca="false">F22*(1-$Q$3)</f>
        <v>1292.4</v>
      </c>
      <c r="J22" s="4" t="n">
        <v>2030</v>
      </c>
      <c r="K22" s="9" t="n">
        <f aca="false">(F22-H22)/(F22-I22)</f>
        <v>0.767349048282265</v>
      </c>
      <c r="L22" s="23" t="n">
        <f aca="false">H22-I22</f>
        <v>200.45206</v>
      </c>
      <c r="M22" s="4" t="str">
        <f aca="false">IF(K22&gt;=1,"Target Met",IF(K22&gt;=0.75,"On Track",IF(K22&gt;=0.4,"At Risk","Off Track")))</f>
        <v>On Track</v>
      </c>
    </row>
    <row r="23" customFormat="false" ht="15" hidden="false" customHeight="false" outlineLevel="0" collapsed="false">
      <c r="A23" s="4" t="s">
        <v>179</v>
      </c>
      <c r="B23" s="4" t="s">
        <v>180</v>
      </c>
      <c r="C23" s="4" t="s">
        <v>247</v>
      </c>
      <c r="D23" s="4" t="s">
        <v>248</v>
      </c>
      <c r="E23" s="4" t="s">
        <v>249</v>
      </c>
      <c r="F23" s="23" t="n">
        <v>2493.2</v>
      </c>
      <c r="G23" s="4" t="n">
        <v>2019</v>
      </c>
      <c r="H23" s="23" t="n">
        <f aca="false">'Asset-Level Data'!P23+'Asset-Level Data'!Q23</f>
        <v>2141.98604</v>
      </c>
      <c r="I23" s="23" t="n">
        <f aca="false">F23*(1-$Q$3)</f>
        <v>1495.92</v>
      </c>
      <c r="J23" s="4" t="n">
        <v>2030</v>
      </c>
      <c r="K23" s="9" t="n">
        <f aca="false">(F23-H23)/(F23-I23)</f>
        <v>0.352171867479544</v>
      </c>
      <c r="L23" s="23" t="n">
        <f aca="false">H23-I23</f>
        <v>646.06604</v>
      </c>
      <c r="M23" s="4" t="str">
        <f aca="false">IF(K23&gt;=1,"Target Met",IF(K23&gt;=0.75,"On Track",IF(K23&gt;=0.4,"At Risk","Off Track")))</f>
        <v>Off Track</v>
      </c>
    </row>
    <row r="24" customFormat="false" ht="15" hidden="false" customHeight="false" outlineLevel="0" collapsed="false">
      <c r="A24" s="4" t="s">
        <v>185</v>
      </c>
      <c r="B24" s="4" t="s">
        <v>186</v>
      </c>
      <c r="C24" s="4" t="s">
        <v>247</v>
      </c>
      <c r="D24" s="4" t="s">
        <v>248</v>
      </c>
      <c r="E24" s="4" t="s">
        <v>249</v>
      </c>
      <c r="F24" s="23" t="n">
        <v>2732.4</v>
      </c>
      <c r="G24" s="4" t="n">
        <v>2019</v>
      </c>
      <c r="H24" s="23" t="n">
        <f aca="false">'Asset-Level Data'!P24+'Asset-Level Data'!Q24</f>
        <v>1941.25198</v>
      </c>
      <c r="I24" s="23" t="n">
        <f aca="false">F24*(1-$Q$3)</f>
        <v>1639.44</v>
      </c>
      <c r="J24" s="4" t="n">
        <v>2030</v>
      </c>
      <c r="K24" s="9" t="n">
        <f aca="false">(F24-H24)/(F24-I24)</f>
        <v>0.723858164983165</v>
      </c>
      <c r="L24" s="23" t="n">
        <f aca="false">H24-I24</f>
        <v>301.81198</v>
      </c>
      <c r="M24" s="4" t="str">
        <f aca="false">IF(K24&gt;=1,"Target Met",IF(K24&gt;=0.75,"On Track",IF(K24&gt;=0.4,"At Risk","Off Track")))</f>
        <v>At Risk</v>
      </c>
    </row>
    <row r="25" customFormat="false" ht="15" hidden="false" customHeight="false" outlineLevel="0" collapsed="false">
      <c r="A25" s="4" t="s">
        <v>191</v>
      </c>
      <c r="B25" s="4" t="s">
        <v>192</v>
      </c>
      <c r="C25" s="4" t="s">
        <v>247</v>
      </c>
      <c r="D25" s="4" t="s">
        <v>248</v>
      </c>
      <c r="E25" s="4" t="s">
        <v>249</v>
      </c>
      <c r="F25" s="23" t="n">
        <v>1371.5</v>
      </c>
      <c r="G25" s="4" t="n">
        <v>2019</v>
      </c>
      <c r="H25" s="23" t="n">
        <f aca="false">'Asset-Level Data'!P25+'Asset-Level Data'!Q25</f>
        <v>1108.82708</v>
      </c>
      <c r="I25" s="23" t="n">
        <f aca="false">F25*(1-$Q$3)</f>
        <v>822.9</v>
      </c>
      <c r="J25" s="4" t="n">
        <v>2030</v>
      </c>
      <c r="K25" s="9" t="n">
        <f aca="false">(F25-H25)/(F25-I25)</f>
        <v>0.478805905942399</v>
      </c>
      <c r="L25" s="23" t="n">
        <f aca="false">H25-I25</f>
        <v>285.92708</v>
      </c>
      <c r="M25" s="4" t="str">
        <f aca="false">IF(K25&gt;=1,"Target Met",IF(K25&gt;=0.75,"On Track",IF(K25&gt;=0.4,"At Risk","Off Track")))</f>
        <v>At Risk</v>
      </c>
    </row>
    <row r="26" customFormat="false" ht="15" hidden="false" customHeight="false" outlineLevel="0" collapsed="false">
      <c r="A26" s="4" t="s">
        <v>197</v>
      </c>
      <c r="B26" s="4" t="s">
        <v>198</v>
      </c>
      <c r="C26" s="4" t="s">
        <v>247</v>
      </c>
      <c r="D26" s="4" t="s">
        <v>248</v>
      </c>
      <c r="E26" s="4" t="s">
        <v>249</v>
      </c>
      <c r="F26" s="23" t="n">
        <v>3221.2</v>
      </c>
      <c r="G26" s="4" t="n">
        <v>2019</v>
      </c>
      <c r="H26" s="23" t="n">
        <f aca="false">'Asset-Level Data'!P26+'Asset-Level Data'!Q26</f>
        <v>2699.49334</v>
      </c>
      <c r="I26" s="23" t="n">
        <f aca="false">F26*(1-$Q$3)</f>
        <v>1932.72</v>
      </c>
      <c r="J26" s="4" t="n">
        <v>2030</v>
      </c>
      <c r="K26" s="9" t="n">
        <f aca="false">(F26-H26)/(F26-I26)</f>
        <v>0.404900859927977</v>
      </c>
      <c r="L26" s="23" t="n">
        <f aca="false">H26-I26</f>
        <v>766.77334</v>
      </c>
      <c r="M26" s="4" t="str">
        <f aca="false">IF(K26&gt;=1,"Target Met",IF(K26&gt;=0.75,"On Track",IF(K26&gt;=0.4,"At Risk","Off Track")))</f>
        <v>At Risk</v>
      </c>
    </row>
    <row r="27" customFormat="false" ht="15" hidden="false" customHeight="false" outlineLevel="0" collapsed="false">
      <c r="A27" s="4" t="s">
        <v>203</v>
      </c>
      <c r="B27" s="4" t="s">
        <v>204</v>
      </c>
      <c r="C27" s="4" t="s">
        <v>247</v>
      </c>
      <c r="D27" s="4" t="s">
        <v>248</v>
      </c>
      <c r="E27" s="4" t="s">
        <v>249</v>
      </c>
      <c r="F27" s="23" t="n">
        <v>2436.3</v>
      </c>
      <c r="G27" s="4" t="n">
        <v>2019</v>
      </c>
      <c r="H27" s="23" t="n">
        <f aca="false">'Asset-Level Data'!P27+'Asset-Level Data'!Q27</f>
        <v>1766.47452</v>
      </c>
      <c r="I27" s="23" t="n">
        <f aca="false">F27*(1-$Q$3)</f>
        <v>1461.78</v>
      </c>
      <c r="J27" s="4" t="n">
        <v>2030</v>
      </c>
      <c r="K27" s="9" t="n">
        <f aca="false">(F27-H27)/(F27-I27)</f>
        <v>0.687338874522842</v>
      </c>
      <c r="L27" s="23" t="n">
        <f aca="false">H27-I27</f>
        <v>304.69452</v>
      </c>
      <c r="M27" s="4" t="str">
        <f aca="false">IF(K27&gt;=1,"Target Met",IF(K27&gt;=0.75,"On Track",IF(K27&gt;=0.4,"At Risk","Off Track")))</f>
        <v>At Risk</v>
      </c>
    </row>
    <row r="28" customFormat="false" ht="15" hidden="false" customHeight="false" outlineLevel="0" collapsed="false">
      <c r="A28" s="4" t="s">
        <v>210</v>
      </c>
      <c r="B28" s="4" t="s">
        <v>211</v>
      </c>
      <c r="C28" s="4" t="s">
        <v>247</v>
      </c>
      <c r="D28" s="4" t="s">
        <v>248</v>
      </c>
      <c r="E28" s="4" t="s">
        <v>249</v>
      </c>
      <c r="F28" s="23" t="n">
        <v>2389.6</v>
      </c>
      <c r="G28" s="4" t="n">
        <v>2019</v>
      </c>
      <c r="H28" s="23" t="n">
        <f aca="false">'Asset-Level Data'!P28+'Asset-Level Data'!Q28</f>
        <v>1778.73148</v>
      </c>
      <c r="I28" s="23" t="n">
        <f aca="false">F28*(1-$Q$3)</f>
        <v>1433.76</v>
      </c>
      <c r="J28" s="4" t="n">
        <v>2030</v>
      </c>
      <c r="K28" s="9" t="n">
        <f aca="false">(F28-H28)/(F28-I28)</f>
        <v>0.639090768329427</v>
      </c>
      <c r="L28" s="23" t="n">
        <f aca="false">H28-I28</f>
        <v>344.97148</v>
      </c>
      <c r="M28" s="4" t="str">
        <f aca="false">IF(K28&gt;=1,"Target Met",IF(K28&gt;=0.75,"On Track",IF(K28&gt;=0.4,"At Risk","Off Track")))</f>
        <v>At Risk</v>
      </c>
    </row>
    <row r="29" customFormat="false" ht="15" hidden="false" customHeight="false" outlineLevel="0" collapsed="false">
      <c r="A29" s="4" t="s">
        <v>216</v>
      </c>
      <c r="B29" s="4" t="s">
        <v>217</v>
      </c>
      <c r="C29" s="4" t="s">
        <v>247</v>
      </c>
      <c r="D29" s="4" t="s">
        <v>248</v>
      </c>
      <c r="E29" s="4" t="s">
        <v>249</v>
      </c>
      <c r="F29" s="23" t="n">
        <v>1841.4</v>
      </c>
      <c r="G29" s="4" t="n">
        <v>2019</v>
      </c>
      <c r="H29" s="23" t="n">
        <f aca="false">'Asset-Level Data'!P29+'Asset-Level Data'!Q29</f>
        <v>1446.6841</v>
      </c>
      <c r="I29" s="23" t="n">
        <f aca="false">F29*(1-$Q$3)</f>
        <v>1104.84</v>
      </c>
      <c r="J29" s="4" t="n">
        <v>2030</v>
      </c>
      <c r="K29" s="9" t="n">
        <f aca="false">(F29-H29)/(F29-I29)</f>
        <v>0.535891033995873</v>
      </c>
      <c r="L29" s="23" t="n">
        <f aca="false">H29-I29</f>
        <v>341.8441</v>
      </c>
      <c r="M29" s="4" t="str">
        <f aca="false">IF(K29&gt;=1,"Target Met",IF(K29&gt;=0.75,"On Track",IF(K29&gt;=0.4,"At Risk","Off Track")))</f>
        <v>At Risk</v>
      </c>
    </row>
    <row r="30" customFormat="false" ht="15" hidden="false" customHeight="false" outlineLevel="0" collapsed="false">
      <c r="A30" s="4" t="s">
        <v>222</v>
      </c>
      <c r="B30" s="4" t="s">
        <v>223</v>
      </c>
      <c r="C30" s="4" t="s">
        <v>247</v>
      </c>
      <c r="D30" s="4" t="s">
        <v>248</v>
      </c>
      <c r="E30" s="4" t="s">
        <v>249</v>
      </c>
      <c r="F30" s="23" t="n">
        <v>2530.5</v>
      </c>
      <c r="G30" s="4" t="n">
        <v>2019</v>
      </c>
      <c r="H30" s="23" t="n">
        <f aca="false">'Asset-Level Data'!P30+'Asset-Level Data'!Q30</f>
        <v>2092.3415</v>
      </c>
      <c r="I30" s="23" t="n">
        <f aca="false">F30*(1-$Q$3)</f>
        <v>1518.3</v>
      </c>
      <c r="J30" s="4" t="n">
        <v>2030</v>
      </c>
      <c r="K30" s="9" t="n">
        <f aca="false">(F30-H30)/(F30-I30)</f>
        <v>0.432877395771587</v>
      </c>
      <c r="L30" s="23" t="n">
        <f aca="false">H30-I30</f>
        <v>574.0415</v>
      </c>
      <c r="M30" s="4" t="str">
        <f aca="false">IF(K30&gt;=1,"Target Met",IF(K30&gt;=0.75,"On Track",IF(K30&gt;=0.4,"At Risk","Off Track")))</f>
        <v>At Risk</v>
      </c>
    </row>
    <row r="31" customFormat="false" ht="15" hidden="false" customHeight="false" outlineLevel="0" collapsed="false">
      <c r="A31" s="4" t="s">
        <v>228</v>
      </c>
      <c r="B31" s="4" t="s">
        <v>229</v>
      </c>
      <c r="C31" s="4" t="s">
        <v>247</v>
      </c>
      <c r="D31" s="4" t="s">
        <v>248</v>
      </c>
      <c r="E31" s="4" t="s">
        <v>249</v>
      </c>
      <c r="F31" s="23" t="n">
        <v>1398.8</v>
      </c>
      <c r="G31" s="4" t="n">
        <v>2019</v>
      </c>
      <c r="H31" s="23" t="n">
        <f aca="false">'Asset-Level Data'!P31+'Asset-Level Data'!Q31</f>
        <v>1033.86592</v>
      </c>
      <c r="I31" s="23" t="n">
        <f aca="false">F31*(1-$Q$3)</f>
        <v>839.28</v>
      </c>
      <c r="J31" s="4" t="n">
        <v>2030</v>
      </c>
      <c r="K31" s="9" t="n">
        <f aca="false">(F31-H31)/(F31-I31)</f>
        <v>0.65222705175865</v>
      </c>
      <c r="L31" s="23" t="n">
        <f aca="false">H31-I31</f>
        <v>194.58592</v>
      </c>
      <c r="M31" s="4" t="str">
        <f aca="false">IF(K31&gt;=1,"Target Met",IF(K31&gt;=0.75,"On Track",IF(K31&gt;=0.4,"At Risk","Off Track")))</f>
        <v>At Risk</v>
      </c>
    </row>
    <row r="32" customFormat="false" ht="15" hidden="false" customHeight="false" outlineLevel="0" collapsed="false">
      <c r="A32" s="4" t="s">
        <v>31</v>
      </c>
      <c r="B32" s="4" t="s">
        <v>32</v>
      </c>
      <c r="C32" s="4" t="s">
        <v>259</v>
      </c>
      <c r="D32" s="4" t="s">
        <v>260</v>
      </c>
      <c r="E32" s="4" t="s">
        <v>249</v>
      </c>
      <c r="F32" s="23" t="n">
        <v>11.8</v>
      </c>
      <c r="G32" s="4" t="n">
        <v>2019</v>
      </c>
      <c r="H32" s="23" t="n">
        <f aca="false">'Asset-Level Data'!O2</f>
        <v>9.953525</v>
      </c>
      <c r="I32" s="23" t="n">
        <f aca="false">F32*(1-$Q$4)</f>
        <v>9.44</v>
      </c>
      <c r="J32" s="4" t="n">
        <v>2030</v>
      </c>
      <c r="K32" s="9" t="n">
        <f aca="false">(F32-H32)/(F32-I32)</f>
        <v>0.782404661016949</v>
      </c>
      <c r="L32" s="23" t="n">
        <f aca="false">H32-I32</f>
        <v>0.513525</v>
      </c>
      <c r="M32" s="4" t="str">
        <f aca="false">IF(K32&gt;=1,"Target Met",IF(K32&gt;=0.75,"On Track",IF(K32&gt;=0.4,"At Risk","Off Track")))</f>
        <v>On Track</v>
      </c>
    </row>
    <row r="33" customFormat="false" ht="15" hidden="false" customHeight="false" outlineLevel="0" collapsed="false">
      <c r="A33" s="4" t="s">
        <v>44</v>
      </c>
      <c r="B33" s="4" t="s">
        <v>45</v>
      </c>
      <c r="C33" s="4" t="s">
        <v>259</v>
      </c>
      <c r="D33" s="4" t="s">
        <v>260</v>
      </c>
      <c r="E33" s="4" t="s">
        <v>249</v>
      </c>
      <c r="F33" s="23" t="n">
        <v>15.8</v>
      </c>
      <c r="G33" s="4" t="n">
        <v>2019</v>
      </c>
      <c r="H33" s="23" t="n">
        <f aca="false">'Asset-Level Data'!O3</f>
        <v>12.7123215339233</v>
      </c>
      <c r="I33" s="23" t="n">
        <f aca="false">F33*(1-$Q$4)</f>
        <v>12.64</v>
      </c>
      <c r="J33" s="4" t="n">
        <v>2030</v>
      </c>
      <c r="K33" s="9" t="n">
        <f aca="false">(F33-H33)/(F33-I33)</f>
        <v>0.977113438631866</v>
      </c>
      <c r="L33" s="23" t="n">
        <f aca="false">H33-I33</f>
        <v>0.0723215339233025</v>
      </c>
      <c r="M33" s="4" t="str">
        <f aca="false">IF(K33&gt;=1,"Target Met",IF(K33&gt;=0.75,"On Track",IF(K33&gt;=0.4,"At Risk","Off Track")))</f>
        <v>On Track</v>
      </c>
    </row>
    <row r="34" customFormat="false" ht="15" hidden="false" customHeight="false" outlineLevel="0" collapsed="false">
      <c r="A34" s="4" t="s">
        <v>54</v>
      </c>
      <c r="B34" s="4" t="s">
        <v>55</v>
      </c>
      <c r="C34" s="4" t="s">
        <v>259</v>
      </c>
      <c r="D34" s="4" t="s">
        <v>260</v>
      </c>
      <c r="E34" s="4" t="s">
        <v>249</v>
      </c>
      <c r="F34" s="23" t="n">
        <v>20</v>
      </c>
      <c r="G34" s="4" t="n">
        <v>2019</v>
      </c>
      <c r="H34" s="23" t="n">
        <f aca="false">'Asset-Level Data'!O4</f>
        <v>14.3477440273038</v>
      </c>
      <c r="I34" s="23" t="n">
        <f aca="false">F34*(1-$Q$4)</f>
        <v>16</v>
      </c>
      <c r="J34" s="4" t="n">
        <v>2030</v>
      </c>
      <c r="K34" s="9" t="n">
        <f aca="false">(F34-H34)/(F34-I34)</f>
        <v>1.41306399317406</v>
      </c>
      <c r="L34" s="23" t="n">
        <f aca="false">H34-I34</f>
        <v>-1.65225597269625</v>
      </c>
      <c r="M34" s="4" t="str">
        <f aca="false">IF(K34&gt;=1,"Target Met",IF(K34&gt;=0.75,"On Track",IF(K34&gt;=0.4,"At Risk","Off Track")))</f>
        <v>Target Met</v>
      </c>
    </row>
    <row r="35" customFormat="false" ht="15" hidden="false" customHeight="false" outlineLevel="0" collapsed="false">
      <c r="A35" s="4" t="s">
        <v>63</v>
      </c>
      <c r="B35" s="4" t="s">
        <v>64</v>
      </c>
      <c r="C35" s="4" t="s">
        <v>259</v>
      </c>
      <c r="D35" s="4" t="s">
        <v>260</v>
      </c>
      <c r="E35" s="4" t="s">
        <v>249</v>
      </c>
      <c r="F35" s="23" t="n">
        <v>16.4</v>
      </c>
      <c r="G35" s="4" t="n">
        <v>2019</v>
      </c>
      <c r="H35" s="23" t="n">
        <f aca="false">'Asset-Level Data'!O5</f>
        <v>13.6163044982699</v>
      </c>
      <c r="I35" s="23" t="n">
        <f aca="false">F35*(1-$Q$4)</f>
        <v>13.12</v>
      </c>
      <c r="J35" s="4" t="n">
        <v>2030</v>
      </c>
      <c r="K35" s="9" t="n">
        <f aca="false">(F35-H35)/(F35-I35)</f>
        <v>0.848687652966495</v>
      </c>
      <c r="L35" s="23" t="n">
        <f aca="false">H35-I35</f>
        <v>0.496304498269897</v>
      </c>
      <c r="M35" s="4" t="str">
        <f aca="false">IF(K35&gt;=1,"Target Met",IF(K35&gt;=0.75,"On Track",IF(K35&gt;=0.4,"At Risk","Off Track")))</f>
        <v>On Track</v>
      </c>
    </row>
    <row r="36" customFormat="false" ht="15" hidden="false" customHeight="false" outlineLevel="0" collapsed="false">
      <c r="A36" s="4" t="s">
        <v>72</v>
      </c>
      <c r="B36" s="4" t="s">
        <v>73</v>
      </c>
      <c r="C36" s="4" t="s">
        <v>259</v>
      </c>
      <c r="D36" s="4" t="s">
        <v>260</v>
      </c>
      <c r="E36" s="4" t="s">
        <v>249</v>
      </c>
      <c r="F36" s="23" t="n">
        <v>19.7</v>
      </c>
      <c r="G36" s="4" t="n">
        <v>2019</v>
      </c>
      <c r="H36" s="23" t="n">
        <f aca="false">'Asset-Level Data'!O6</f>
        <v>14.9092186379928</v>
      </c>
      <c r="I36" s="23" t="n">
        <f aca="false">F36*(1-$Q$4)</f>
        <v>15.76</v>
      </c>
      <c r="J36" s="4" t="n">
        <v>2030</v>
      </c>
      <c r="K36" s="9" t="n">
        <f aca="false">(F36-H36)/(F36-I36)</f>
        <v>1.21593435583938</v>
      </c>
      <c r="L36" s="23" t="n">
        <f aca="false">H36-I36</f>
        <v>-0.850781362007169</v>
      </c>
      <c r="M36" s="4" t="str">
        <f aca="false">IF(K36&gt;=1,"Target Met",IF(K36&gt;=0.75,"On Track",IF(K36&gt;=0.4,"At Risk","Off Track")))</f>
        <v>Target Met</v>
      </c>
    </row>
    <row r="37" customFormat="false" ht="15" hidden="false" customHeight="false" outlineLevel="0" collapsed="false">
      <c r="A37" s="4" t="s">
        <v>82</v>
      </c>
      <c r="B37" s="4" t="s">
        <v>83</v>
      </c>
      <c r="C37" s="4" t="s">
        <v>259</v>
      </c>
      <c r="D37" s="4" t="s">
        <v>260</v>
      </c>
      <c r="E37" s="4" t="s">
        <v>249</v>
      </c>
      <c r="F37" s="23" t="n">
        <v>13.7</v>
      </c>
      <c r="G37" s="4" t="n">
        <v>2019</v>
      </c>
      <c r="H37" s="23" t="n">
        <f aca="false">'Asset-Level Data'!O7</f>
        <v>10.2142081575246</v>
      </c>
      <c r="I37" s="23" t="n">
        <f aca="false">F37*(1-$Q$4)</f>
        <v>10.96</v>
      </c>
      <c r="J37" s="4" t="n">
        <v>2030</v>
      </c>
      <c r="K37" s="9" t="n">
        <f aca="false">(F37-H37)/(F37-I37)</f>
        <v>1.27218680382313</v>
      </c>
      <c r="L37" s="23" t="n">
        <f aca="false">H37-I37</f>
        <v>-0.745791842475388</v>
      </c>
      <c r="M37" s="4" t="str">
        <f aca="false">IF(K37&gt;=1,"Target Met",IF(K37&gt;=0.75,"On Track",IF(K37&gt;=0.4,"At Risk","Off Track")))</f>
        <v>Target Met</v>
      </c>
    </row>
    <row r="38" customFormat="false" ht="15" hidden="false" customHeight="false" outlineLevel="0" collapsed="false">
      <c r="A38" s="4" t="s">
        <v>89</v>
      </c>
      <c r="B38" s="4" t="s">
        <v>90</v>
      </c>
      <c r="C38" s="4" t="s">
        <v>259</v>
      </c>
      <c r="D38" s="4" t="s">
        <v>260</v>
      </c>
      <c r="E38" s="4" t="s">
        <v>249</v>
      </c>
      <c r="F38" s="23" t="n">
        <v>27.5</v>
      </c>
      <c r="G38" s="4" t="n">
        <v>2019</v>
      </c>
      <c r="H38" s="23" t="n">
        <f aca="false">'Asset-Level Data'!O8</f>
        <v>21.7944864864865</v>
      </c>
      <c r="I38" s="23" t="n">
        <f aca="false">F38*(1-$Q$4)</f>
        <v>22</v>
      </c>
      <c r="J38" s="4" t="n">
        <v>2030</v>
      </c>
      <c r="K38" s="9" t="n">
        <f aca="false">(F38-H38)/(F38-I38)</f>
        <v>1.03736609336609</v>
      </c>
      <c r="L38" s="23" t="n">
        <f aca="false">H38-I38</f>
        <v>-0.205513513513512</v>
      </c>
      <c r="M38" s="4" t="str">
        <f aca="false">IF(K38&gt;=1,"Target Met",IF(K38&gt;=0.75,"On Track",IF(K38&gt;=0.4,"At Risk","Off Track")))</f>
        <v>Target Met</v>
      </c>
    </row>
    <row r="39" customFormat="false" ht="15" hidden="false" customHeight="false" outlineLevel="0" collapsed="false">
      <c r="A39" s="4" t="s">
        <v>95</v>
      </c>
      <c r="B39" s="4" t="s">
        <v>96</v>
      </c>
      <c r="C39" s="4" t="s">
        <v>259</v>
      </c>
      <c r="D39" s="4" t="s">
        <v>260</v>
      </c>
      <c r="E39" s="4" t="s">
        <v>249</v>
      </c>
      <c r="F39" s="23" t="n">
        <v>17.4</v>
      </c>
      <c r="G39" s="4" t="n">
        <v>2019</v>
      </c>
      <c r="H39" s="23" t="n">
        <f aca="false">'Asset-Level Data'!O9</f>
        <v>13.227885026738</v>
      </c>
      <c r="I39" s="23" t="n">
        <f aca="false">F39*(1-$Q$4)</f>
        <v>13.92</v>
      </c>
      <c r="J39" s="4" t="n">
        <v>2030</v>
      </c>
      <c r="K39" s="9" t="n">
        <f aca="false">(F39-H39)/(F39-I39)</f>
        <v>1.19888361300633</v>
      </c>
      <c r="L39" s="23" t="n">
        <f aca="false">H39-I39</f>
        <v>-0.692114973262033</v>
      </c>
      <c r="M39" s="4" t="str">
        <f aca="false">IF(K39&gt;=1,"Target Met",IF(K39&gt;=0.75,"On Track",IF(K39&gt;=0.4,"At Risk","Off Track")))</f>
        <v>Target Met</v>
      </c>
    </row>
    <row r="40" customFormat="false" ht="15" hidden="false" customHeight="false" outlineLevel="0" collapsed="false">
      <c r="A40" s="4" t="s">
        <v>101</v>
      </c>
      <c r="B40" s="4" t="s">
        <v>102</v>
      </c>
      <c r="C40" s="4" t="s">
        <v>259</v>
      </c>
      <c r="D40" s="4" t="s">
        <v>260</v>
      </c>
      <c r="E40" s="4" t="s">
        <v>249</v>
      </c>
      <c r="F40" s="23" t="n">
        <v>12.9</v>
      </c>
      <c r="G40" s="4" t="n">
        <v>2019</v>
      </c>
      <c r="H40" s="23" t="n">
        <f aca="false">'Asset-Level Data'!O10</f>
        <v>10.9993149741824</v>
      </c>
      <c r="I40" s="23" t="n">
        <f aca="false">F40*(1-$Q$4)</f>
        <v>10.32</v>
      </c>
      <c r="J40" s="4" t="n">
        <v>2030</v>
      </c>
      <c r="K40" s="9" t="n">
        <f aca="false">(F40-H40)/(F40-I40)</f>
        <v>0.736699622409906</v>
      </c>
      <c r="L40" s="23" t="n">
        <f aca="false">H40-I40</f>
        <v>0.679314974182443</v>
      </c>
      <c r="M40" s="4" t="str">
        <f aca="false">IF(K40&gt;=1,"Target Met",IF(K40&gt;=0.75,"On Track",IF(K40&gt;=0.4,"At Risk","Off Track")))</f>
        <v>At Risk</v>
      </c>
    </row>
    <row r="41" customFormat="false" ht="15" hidden="false" customHeight="false" outlineLevel="0" collapsed="false">
      <c r="A41" s="4" t="s">
        <v>106</v>
      </c>
      <c r="B41" s="4" t="s">
        <v>107</v>
      </c>
      <c r="C41" s="4" t="s">
        <v>259</v>
      </c>
      <c r="D41" s="4" t="s">
        <v>260</v>
      </c>
      <c r="E41" s="4" t="s">
        <v>249</v>
      </c>
      <c r="F41" s="23" t="n">
        <v>11.6</v>
      </c>
      <c r="G41" s="4" t="n">
        <v>2019</v>
      </c>
      <c r="H41" s="23" t="n">
        <f aca="false">'Asset-Level Data'!O11</f>
        <v>9.9625501618123</v>
      </c>
      <c r="I41" s="23" t="n">
        <f aca="false">F41*(1-$Q$4)</f>
        <v>9.28</v>
      </c>
      <c r="J41" s="4" t="n">
        <v>2030</v>
      </c>
      <c r="K41" s="9" t="n">
        <f aca="false">(F41-H41)/(F41-I41)</f>
        <v>0.705797344046423</v>
      </c>
      <c r="L41" s="23" t="n">
        <f aca="false">H41-I41</f>
        <v>0.682550161812298</v>
      </c>
      <c r="M41" s="4" t="str">
        <f aca="false">IF(K41&gt;=1,"Target Met",IF(K41&gt;=0.75,"On Track",IF(K41&gt;=0.4,"At Risk","Off Track")))</f>
        <v>At Risk</v>
      </c>
    </row>
    <row r="42" customFormat="false" ht="15" hidden="false" customHeight="false" outlineLevel="0" collapsed="false">
      <c r="A42" s="4" t="s">
        <v>112</v>
      </c>
      <c r="B42" s="4" t="s">
        <v>113</v>
      </c>
      <c r="C42" s="4" t="s">
        <v>259</v>
      </c>
      <c r="D42" s="4" t="s">
        <v>260</v>
      </c>
      <c r="E42" s="4" t="s">
        <v>249</v>
      </c>
      <c r="F42" s="23" t="n">
        <v>23</v>
      </c>
      <c r="G42" s="4" t="n">
        <v>2019</v>
      </c>
      <c r="H42" s="23" t="n">
        <f aca="false">'Asset-Level Data'!O12</f>
        <v>18.9769824561404</v>
      </c>
      <c r="I42" s="23" t="n">
        <f aca="false">F42*(1-$Q$4)</f>
        <v>18.4</v>
      </c>
      <c r="J42" s="4" t="n">
        <v>2030</v>
      </c>
      <c r="K42" s="9" t="n">
        <f aca="false">(F42-H42)/(F42-I42)</f>
        <v>0.874569031273837</v>
      </c>
      <c r="L42" s="23" t="n">
        <f aca="false">H42-I42</f>
        <v>0.57698245614035</v>
      </c>
      <c r="M42" s="4" t="str">
        <f aca="false">IF(K42&gt;=1,"Target Met",IF(K42&gt;=0.75,"On Track",IF(K42&gt;=0.4,"At Risk","Off Track")))</f>
        <v>On Track</v>
      </c>
    </row>
    <row r="43" customFormat="false" ht="15" hidden="false" customHeight="false" outlineLevel="0" collapsed="false">
      <c r="A43" s="4" t="s">
        <v>119</v>
      </c>
      <c r="B43" s="4" t="s">
        <v>120</v>
      </c>
      <c r="C43" s="4" t="s">
        <v>259</v>
      </c>
      <c r="D43" s="4" t="s">
        <v>260</v>
      </c>
      <c r="E43" s="4" t="s">
        <v>249</v>
      </c>
      <c r="F43" s="23" t="n">
        <v>13.8</v>
      </c>
      <c r="G43" s="4" t="n">
        <v>2019</v>
      </c>
      <c r="H43" s="23" t="n">
        <f aca="false">'Asset-Level Data'!O13</f>
        <v>10.2040570902394</v>
      </c>
      <c r="I43" s="23" t="n">
        <f aca="false">F43*(1-$Q$4)</f>
        <v>11.04</v>
      </c>
      <c r="J43" s="4" t="n">
        <v>2030</v>
      </c>
      <c r="K43" s="9" t="n">
        <f aca="false">(F43-H43)/(F43-I43)</f>
        <v>1.30287786585529</v>
      </c>
      <c r="L43" s="23" t="n">
        <f aca="false">H43-I43</f>
        <v>-0.83594290976059</v>
      </c>
      <c r="M43" s="4" t="str">
        <f aca="false">IF(K43&gt;=1,"Target Met",IF(K43&gt;=0.75,"On Track",IF(K43&gt;=0.4,"At Risk","Off Track")))</f>
        <v>Target Met</v>
      </c>
    </row>
    <row r="44" customFormat="false" ht="15" hidden="false" customHeight="false" outlineLevel="0" collapsed="false">
      <c r="A44" s="4" t="s">
        <v>125</v>
      </c>
      <c r="B44" s="4" t="s">
        <v>126</v>
      </c>
      <c r="C44" s="4" t="s">
        <v>259</v>
      </c>
      <c r="D44" s="4" t="s">
        <v>260</v>
      </c>
      <c r="E44" s="4" t="s">
        <v>249</v>
      </c>
      <c r="F44" s="23" t="n">
        <v>21.8</v>
      </c>
      <c r="G44" s="4" t="n">
        <v>2019</v>
      </c>
      <c r="H44" s="23" t="n">
        <f aca="false">'Asset-Level Data'!O14</f>
        <v>17.0370100334448</v>
      </c>
      <c r="I44" s="23" t="n">
        <f aca="false">F44*(1-$Q$4)</f>
        <v>17.44</v>
      </c>
      <c r="J44" s="4" t="n">
        <v>2030</v>
      </c>
      <c r="K44" s="9" t="n">
        <f aca="false">(F44-H44)/(F44-I44)</f>
        <v>1.09242889141174</v>
      </c>
      <c r="L44" s="23" t="n">
        <f aca="false">H44-I44</f>
        <v>-0.402989966555186</v>
      </c>
      <c r="M44" s="4" t="str">
        <f aca="false">IF(K44&gt;=1,"Target Met",IF(K44&gt;=0.75,"On Track",IF(K44&gt;=0.4,"At Risk","Off Track")))</f>
        <v>Target Met</v>
      </c>
    </row>
    <row r="45" customFormat="false" ht="15" hidden="false" customHeight="false" outlineLevel="0" collapsed="false">
      <c r="A45" s="4" t="s">
        <v>131</v>
      </c>
      <c r="B45" s="4" t="s">
        <v>132</v>
      </c>
      <c r="C45" s="4" t="s">
        <v>259</v>
      </c>
      <c r="D45" s="4" t="s">
        <v>260</v>
      </c>
      <c r="E45" s="4" t="s">
        <v>249</v>
      </c>
      <c r="F45" s="23" t="n">
        <v>22.2</v>
      </c>
      <c r="G45" s="4" t="n">
        <v>2019</v>
      </c>
      <c r="H45" s="23" t="n">
        <f aca="false">'Asset-Level Data'!O15</f>
        <v>17.8495578034682</v>
      </c>
      <c r="I45" s="23" t="n">
        <f aca="false">F45*(1-$Q$4)</f>
        <v>17.76</v>
      </c>
      <c r="J45" s="4" t="n">
        <v>2030</v>
      </c>
      <c r="K45" s="9" t="n">
        <f aca="false">(F45-H45)/(F45-I45)</f>
        <v>0.979829323543197</v>
      </c>
      <c r="L45" s="23" t="n">
        <f aca="false">H45-I45</f>
        <v>0.0895578034682067</v>
      </c>
      <c r="M45" s="4" t="str">
        <f aca="false">IF(K45&gt;=1,"Target Met",IF(K45&gt;=0.75,"On Track",IF(K45&gt;=0.4,"At Risk","Off Track")))</f>
        <v>On Track</v>
      </c>
    </row>
    <row r="46" customFormat="false" ht="15" hidden="false" customHeight="false" outlineLevel="0" collapsed="false">
      <c r="A46" s="4" t="s">
        <v>136</v>
      </c>
      <c r="B46" s="4" t="s">
        <v>137</v>
      </c>
      <c r="C46" s="4" t="s">
        <v>259</v>
      </c>
      <c r="D46" s="4" t="s">
        <v>260</v>
      </c>
      <c r="E46" s="4" t="s">
        <v>249</v>
      </c>
      <c r="F46" s="23" t="n">
        <v>20</v>
      </c>
      <c r="G46" s="4" t="n">
        <v>2019</v>
      </c>
      <c r="H46" s="23" t="n">
        <f aca="false">'Asset-Level Data'!O16</f>
        <v>15.0757262357414</v>
      </c>
      <c r="I46" s="23" t="n">
        <f aca="false">F46*(1-$Q$4)</f>
        <v>16</v>
      </c>
      <c r="J46" s="4" t="n">
        <v>2030</v>
      </c>
      <c r="K46" s="9" t="n">
        <f aca="false">(F46-H46)/(F46-I46)</f>
        <v>1.23106844106464</v>
      </c>
      <c r="L46" s="23" t="n">
        <f aca="false">H46-I46</f>
        <v>-0.924273764258555</v>
      </c>
      <c r="M46" s="4" t="str">
        <f aca="false">IF(K46&gt;=1,"Target Met",IF(K46&gt;=0.75,"On Track",IF(K46&gt;=0.4,"At Risk","Off Track")))</f>
        <v>Target Met</v>
      </c>
    </row>
    <row r="47" customFormat="false" ht="15" hidden="false" customHeight="false" outlineLevel="0" collapsed="false">
      <c r="A47" s="4" t="s">
        <v>142</v>
      </c>
      <c r="B47" s="4" t="s">
        <v>143</v>
      </c>
      <c r="C47" s="4" t="s">
        <v>259</v>
      </c>
      <c r="D47" s="4" t="s">
        <v>260</v>
      </c>
      <c r="E47" s="4" t="s">
        <v>249</v>
      </c>
      <c r="F47" s="23" t="n">
        <v>20.2</v>
      </c>
      <c r="G47" s="4" t="n">
        <v>2019</v>
      </c>
      <c r="H47" s="23" t="n">
        <f aca="false">'Asset-Level Data'!O17</f>
        <v>15.7353507340946</v>
      </c>
      <c r="I47" s="23" t="n">
        <f aca="false">F47*(1-$Q$4)</f>
        <v>16.16</v>
      </c>
      <c r="J47" s="4" t="n">
        <v>2030</v>
      </c>
      <c r="K47" s="9" t="n">
        <f aca="false">(F47-H47)/(F47-I47)</f>
        <v>1.10511120443203</v>
      </c>
      <c r="L47" s="23" t="n">
        <f aca="false">H47-I47</f>
        <v>-0.424649265905384</v>
      </c>
      <c r="M47" s="4" t="str">
        <f aca="false">IF(K47&gt;=1,"Target Met",IF(K47&gt;=0.75,"On Track",IF(K47&gt;=0.4,"At Risk","Off Track")))</f>
        <v>Target Met</v>
      </c>
    </row>
    <row r="48" customFormat="false" ht="15" hidden="false" customHeight="false" outlineLevel="0" collapsed="false">
      <c r="A48" s="4" t="s">
        <v>148</v>
      </c>
      <c r="B48" s="4" t="s">
        <v>149</v>
      </c>
      <c r="C48" s="4" t="s">
        <v>259</v>
      </c>
      <c r="D48" s="4" t="s">
        <v>260</v>
      </c>
      <c r="E48" s="4" t="s">
        <v>249</v>
      </c>
      <c r="F48" s="23" t="n">
        <v>15.7</v>
      </c>
      <c r="G48" s="4" t="n">
        <v>2019</v>
      </c>
      <c r="H48" s="23" t="n">
        <f aca="false">'Asset-Level Data'!O18</f>
        <v>12.6505953878407</v>
      </c>
      <c r="I48" s="23" t="n">
        <f aca="false">F48*(1-$Q$4)</f>
        <v>12.56</v>
      </c>
      <c r="J48" s="4" t="n">
        <v>2030</v>
      </c>
      <c r="K48" s="9" t="n">
        <f aca="false">(F48-H48)/(F48-I48)</f>
        <v>0.971147965655838</v>
      </c>
      <c r="L48" s="23" t="n">
        <f aca="false">H48-I48</f>
        <v>0.0905953878406702</v>
      </c>
      <c r="M48" s="4" t="str">
        <f aca="false">IF(K48&gt;=1,"Target Met",IF(K48&gt;=0.75,"On Track",IF(K48&gt;=0.4,"At Risk","Off Track")))</f>
        <v>On Track</v>
      </c>
    </row>
    <row r="49" customFormat="false" ht="15" hidden="false" customHeight="false" outlineLevel="0" collapsed="false">
      <c r="A49" s="4" t="s">
        <v>155</v>
      </c>
      <c r="B49" s="4" t="s">
        <v>156</v>
      </c>
      <c r="C49" s="4" t="s">
        <v>259</v>
      </c>
      <c r="D49" s="4" t="s">
        <v>260</v>
      </c>
      <c r="E49" s="4" t="s">
        <v>249</v>
      </c>
      <c r="F49" s="23" t="n">
        <v>16.5</v>
      </c>
      <c r="G49" s="4" t="n">
        <v>2019</v>
      </c>
      <c r="H49" s="23" t="n">
        <f aca="false">'Asset-Level Data'!O19</f>
        <v>11.9004303797468</v>
      </c>
      <c r="I49" s="23" t="n">
        <f aca="false">F49*(1-$Q$4)</f>
        <v>13.2</v>
      </c>
      <c r="J49" s="4" t="n">
        <v>2030</v>
      </c>
      <c r="K49" s="9" t="n">
        <f aca="false">(F49-H49)/(F49-I49)</f>
        <v>1.39380897583429</v>
      </c>
      <c r="L49" s="23" t="n">
        <f aca="false">H49-I49</f>
        <v>-1.29956962025317</v>
      </c>
      <c r="M49" s="4" t="str">
        <f aca="false">IF(K49&gt;=1,"Target Met",IF(K49&gt;=0.75,"On Track",IF(K49&gt;=0.4,"At Risk","Off Track")))</f>
        <v>Target Met</v>
      </c>
    </row>
    <row r="50" customFormat="false" ht="15" hidden="false" customHeight="false" outlineLevel="0" collapsed="false">
      <c r="A50" s="4" t="s">
        <v>161</v>
      </c>
      <c r="B50" s="4" t="s">
        <v>162</v>
      </c>
      <c r="C50" s="4" t="s">
        <v>259</v>
      </c>
      <c r="D50" s="4" t="s">
        <v>260</v>
      </c>
      <c r="E50" s="4" t="s">
        <v>249</v>
      </c>
      <c r="F50" s="23" t="n">
        <v>11.7</v>
      </c>
      <c r="G50" s="4" t="n">
        <v>2019</v>
      </c>
      <c r="H50" s="23" t="n">
        <f aca="false">'Asset-Level Data'!O20</f>
        <v>8.62140979955457</v>
      </c>
      <c r="I50" s="23" t="n">
        <f aca="false">F50*(1-$Q$4)</f>
        <v>9.36</v>
      </c>
      <c r="J50" s="4" t="n">
        <v>2030</v>
      </c>
      <c r="K50" s="9" t="n">
        <f aca="false">(F50-H50)/(F50-I50)</f>
        <v>1.31563683779719</v>
      </c>
      <c r="L50" s="23" t="n">
        <f aca="false">H50-I50</f>
        <v>-0.738590200445433</v>
      </c>
      <c r="M50" s="4" t="str">
        <f aca="false">IF(K50&gt;=1,"Target Met",IF(K50&gt;=0.75,"On Track",IF(K50&gt;=0.4,"At Risk","Off Track")))</f>
        <v>Target Met</v>
      </c>
    </row>
    <row r="51" customFormat="false" ht="15" hidden="false" customHeight="false" outlineLevel="0" collapsed="false">
      <c r="A51" s="4" t="s">
        <v>167</v>
      </c>
      <c r="B51" s="4" t="s">
        <v>168</v>
      </c>
      <c r="C51" s="4" t="s">
        <v>259</v>
      </c>
      <c r="D51" s="4" t="s">
        <v>260</v>
      </c>
      <c r="E51" s="4" t="s">
        <v>249</v>
      </c>
      <c r="F51" s="23" t="n">
        <v>16.7</v>
      </c>
      <c r="G51" s="4" t="n">
        <v>2019</v>
      </c>
      <c r="H51" s="23" t="n">
        <f aca="false">'Asset-Level Data'!O21</f>
        <v>13.6336045296167</v>
      </c>
      <c r="I51" s="23" t="n">
        <f aca="false">F51*(1-$Q$4)</f>
        <v>13.36</v>
      </c>
      <c r="J51" s="4" t="n">
        <v>2030</v>
      </c>
      <c r="K51" s="9" t="n">
        <f aca="false">(F51-H51)/(F51-I51)</f>
        <v>0.918082476162657</v>
      </c>
      <c r="L51" s="23" t="n">
        <f aca="false">H51-I51</f>
        <v>0.273604529616724</v>
      </c>
      <c r="M51" s="4" t="str">
        <f aca="false">IF(K51&gt;=1,"Target Met",IF(K51&gt;=0.75,"On Track",IF(K51&gt;=0.4,"At Risk","Off Track")))</f>
        <v>On Track</v>
      </c>
    </row>
    <row r="52" customFormat="false" ht="15" hidden="false" customHeight="false" outlineLevel="0" collapsed="false">
      <c r="A52" s="4" t="s">
        <v>174</v>
      </c>
      <c r="B52" s="4" t="s">
        <v>175</v>
      </c>
      <c r="C52" s="4" t="s">
        <v>259</v>
      </c>
      <c r="D52" s="4" t="s">
        <v>260</v>
      </c>
      <c r="E52" s="4" t="s">
        <v>249</v>
      </c>
      <c r="F52" s="23" t="n">
        <v>20</v>
      </c>
      <c r="G52" s="4" t="n">
        <v>2019</v>
      </c>
      <c r="H52" s="23" t="n">
        <f aca="false">'Asset-Level Data'!O22</f>
        <v>15.1564350282486</v>
      </c>
      <c r="I52" s="23" t="n">
        <f aca="false">F52*(1-$Q$4)</f>
        <v>16</v>
      </c>
      <c r="J52" s="4" t="n">
        <v>2030</v>
      </c>
      <c r="K52" s="9" t="n">
        <f aca="false">(F52-H52)/(F52-I52)</f>
        <v>1.21089124293785</v>
      </c>
      <c r="L52" s="23" t="n">
        <f aca="false">H52-I52</f>
        <v>-0.843564971751412</v>
      </c>
      <c r="M52" s="4" t="str">
        <f aca="false">IF(K52&gt;=1,"Target Met",IF(K52&gt;=0.75,"On Track",IF(K52&gt;=0.4,"At Risk","Off Track")))</f>
        <v>Target Met</v>
      </c>
    </row>
    <row r="53" customFormat="false" ht="15" hidden="false" customHeight="false" outlineLevel="0" collapsed="false">
      <c r="A53" s="4" t="s">
        <v>179</v>
      </c>
      <c r="B53" s="4" t="s">
        <v>180</v>
      </c>
      <c r="C53" s="4" t="s">
        <v>259</v>
      </c>
      <c r="D53" s="4" t="s">
        <v>260</v>
      </c>
      <c r="E53" s="4" t="s">
        <v>249</v>
      </c>
      <c r="F53" s="23" t="n">
        <v>18</v>
      </c>
      <c r="G53" s="4" t="n">
        <v>2019</v>
      </c>
      <c r="H53" s="23" t="n">
        <f aca="false">'Asset-Level Data'!O23</f>
        <v>13.8021735294118</v>
      </c>
      <c r="I53" s="23" t="n">
        <f aca="false">F53*(1-$Q$4)</f>
        <v>14.4</v>
      </c>
      <c r="J53" s="4" t="n">
        <v>2030</v>
      </c>
      <c r="K53" s="9" t="n">
        <f aca="false">(F53-H53)/(F53-I53)</f>
        <v>1.16606290849673</v>
      </c>
      <c r="L53" s="23" t="n">
        <f aca="false">H53-I53</f>
        <v>-0.597826470588236</v>
      </c>
      <c r="M53" s="4" t="str">
        <f aca="false">IF(K53&gt;=1,"Target Met",IF(K53&gt;=0.75,"On Track",IF(K53&gt;=0.4,"At Risk","Off Track")))</f>
        <v>Target Met</v>
      </c>
    </row>
    <row r="54" customFormat="false" ht="15" hidden="false" customHeight="false" outlineLevel="0" collapsed="false">
      <c r="A54" s="4" t="s">
        <v>185</v>
      </c>
      <c r="B54" s="4" t="s">
        <v>186</v>
      </c>
      <c r="C54" s="4" t="s">
        <v>259</v>
      </c>
      <c r="D54" s="4" t="s">
        <v>260</v>
      </c>
      <c r="E54" s="4" t="s">
        <v>249</v>
      </c>
      <c r="F54" s="23" t="n">
        <v>21.8</v>
      </c>
      <c r="G54" s="4" t="n">
        <v>2019</v>
      </c>
      <c r="H54" s="23" t="n">
        <f aca="false">'Asset-Level Data'!O24</f>
        <v>15.4358448275862</v>
      </c>
      <c r="I54" s="23" t="n">
        <f aca="false">F54*(1-$Q$4)</f>
        <v>17.44</v>
      </c>
      <c r="J54" s="4" t="n">
        <v>2030</v>
      </c>
      <c r="K54" s="9" t="n">
        <f aca="false">(F54-H54)/(F54-I54)</f>
        <v>1.4596686175261</v>
      </c>
      <c r="L54" s="23" t="n">
        <f aca="false">H54-I54</f>
        <v>-2.00415517241379</v>
      </c>
      <c r="M54" s="4" t="str">
        <f aca="false">IF(K54&gt;=1,"Target Met",IF(K54&gt;=0.75,"On Track",IF(K54&gt;=0.4,"At Risk","Off Track")))</f>
        <v>Target Met</v>
      </c>
    </row>
    <row r="55" customFormat="false" ht="15" hidden="false" customHeight="false" outlineLevel="0" collapsed="false">
      <c r="A55" s="4" t="s">
        <v>191</v>
      </c>
      <c r="B55" s="4" t="s">
        <v>192</v>
      </c>
      <c r="C55" s="4" t="s">
        <v>259</v>
      </c>
      <c r="D55" s="4" t="s">
        <v>260</v>
      </c>
      <c r="E55" s="4" t="s">
        <v>249</v>
      </c>
      <c r="F55" s="23" t="n">
        <v>12.4</v>
      </c>
      <c r="G55" s="4" t="n">
        <v>2019</v>
      </c>
      <c r="H55" s="23" t="n">
        <f aca="false">'Asset-Level Data'!O25</f>
        <v>9.08476588021779</v>
      </c>
      <c r="I55" s="23" t="n">
        <f aca="false">F55*(1-$Q$4)</f>
        <v>9.92</v>
      </c>
      <c r="J55" s="4" t="n">
        <v>2030</v>
      </c>
      <c r="K55" s="9" t="n">
        <f aca="false">(F55-H55)/(F55-I55)</f>
        <v>1.33678795152509</v>
      </c>
      <c r="L55" s="23" t="n">
        <f aca="false">H55-I55</f>
        <v>-0.835234119782216</v>
      </c>
      <c r="M55" s="4" t="str">
        <f aca="false">IF(K55&gt;=1,"Target Met",IF(K55&gt;=0.75,"On Track",IF(K55&gt;=0.4,"At Risk","Off Track")))</f>
        <v>Target Met</v>
      </c>
    </row>
    <row r="56" customFormat="false" ht="15" hidden="false" customHeight="false" outlineLevel="0" collapsed="false">
      <c r="A56" s="4" t="s">
        <v>197</v>
      </c>
      <c r="B56" s="4" t="s">
        <v>198</v>
      </c>
      <c r="C56" s="4" t="s">
        <v>259</v>
      </c>
      <c r="D56" s="4" t="s">
        <v>260</v>
      </c>
      <c r="E56" s="4" t="s">
        <v>249</v>
      </c>
      <c r="F56" s="23" t="n">
        <v>25.1</v>
      </c>
      <c r="G56" s="4" t="n">
        <v>2019</v>
      </c>
      <c r="H56" s="23" t="n">
        <f aca="false">'Asset-Level Data'!O26</f>
        <v>20.3291929555896</v>
      </c>
      <c r="I56" s="23" t="n">
        <f aca="false">F56*(1-$Q$4)</f>
        <v>20.08</v>
      </c>
      <c r="J56" s="4" t="n">
        <v>2030</v>
      </c>
      <c r="K56" s="9" t="n">
        <f aca="false">(F56-H56)/(F56-I56)</f>
        <v>0.950359969006059</v>
      </c>
      <c r="L56" s="23" t="n">
        <f aca="false">H56-I56</f>
        <v>0.249192955589585</v>
      </c>
      <c r="M56" s="4" t="str">
        <f aca="false">IF(K56&gt;=1,"Target Met",IF(K56&gt;=0.75,"On Track",IF(K56&gt;=0.4,"At Risk","Off Track")))</f>
        <v>On Track</v>
      </c>
    </row>
    <row r="57" customFormat="false" ht="15" hidden="false" customHeight="false" outlineLevel="0" collapsed="false">
      <c r="A57" s="4" t="s">
        <v>203</v>
      </c>
      <c r="B57" s="4" t="s">
        <v>204</v>
      </c>
      <c r="C57" s="4" t="s">
        <v>259</v>
      </c>
      <c r="D57" s="4" t="s">
        <v>260</v>
      </c>
      <c r="E57" s="4" t="s">
        <v>249</v>
      </c>
      <c r="F57" s="23" t="n">
        <v>29.5</v>
      </c>
      <c r="G57" s="4" t="n">
        <v>2019</v>
      </c>
      <c r="H57" s="23" t="n">
        <f aca="false">'Asset-Level Data'!O27</f>
        <v>20.4707248322148</v>
      </c>
      <c r="I57" s="23" t="n">
        <f aca="false">F57*(1-$Q$4)</f>
        <v>23.6</v>
      </c>
      <c r="J57" s="4" t="n">
        <v>2030</v>
      </c>
      <c r="K57" s="9" t="n">
        <f aca="false">(F57-H57)/(F57-I57)</f>
        <v>1.53038562165852</v>
      </c>
      <c r="L57" s="23" t="n">
        <f aca="false">H57-I57</f>
        <v>-3.12927516778524</v>
      </c>
      <c r="M57" s="4" t="str">
        <f aca="false">IF(K57&gt;=1,"Target Met",IF(K57&gt;=0.75,"On Track",IF(K57&gt;=0.4,"At Risk","Off Track")))</f>
        <v>Target Met</v>
      </c>
    </row>
    <row r="58" customFormat="false" ht="15" hidden="false" customHeight="false" outlineLevel="0" collapsed="false">
      <c r="A58" s="4" t="s">
        <v>210</v>
      </c>
      <c r="B58" s="4" t="s">
        <v>211</v>
      </c>
      <c r="C58" s="4" t="s">
        <v>259</v>
      </c>
      <c r="D58" s="4" t="s">
        <v>260</v>
      </c>
      <c r="E58" s="4" t="s">
        <v>249</v>
      </c>
      <c r="F58" s="23" t="n">
        <v>30</v>
      </c>
      <c r="G58" s="4" t="n">
        <v>2019</v>
      </c>
      <c r="H58" s="23" t="n">
        <f aca="false">'Asset-Level Data'!O28</f>
        <v>23.4943375959079</v>
      </c>
      <c r="I58" s="23" t="n">
        <f aca="false">F58*(1-$Q$4)</f>
        <v>24</v>
      </c>
      <c r="J58" s="4" t="n">
        <v>2030</v>
      </c>
      <c r="K58" s="9" t="n">
        <f aca="false">(F58-H58)/(F58-I58)</f>
        <v>1.08427706734868</v>
      </c>
      <c r="L58" s="23" t="n">
        <f aca="false">H58-I58</f>
        <v>-0.505662404092071</v>
      </c>
      <c r="M58" s="4" t="str">
        <f aca="false">IF(K58&gt;=1,"Target Met",IF(K58&gt;=0.75,"On Track",IF(K58&gt;=0.4,"At Risk","Off Track")))</f>
        <v>Target Met</v>
      </c>
    </row>
    <row r="59" customFormat="false" ht="15" hidden="false" customHeight="false" outlineLevel="0" collapsed="false">
      <c r="A59" s="4" t="s">
        <v>216</v>
      </c>
      <c r="B59" s="4" t="s">
        <v>217</v>
      </c>
      <c r="C59" s="4" t="s">
        <v>259</v>
      </c>
      <c r="D59" s="4" t="s">
        <v>260</v>
      </c>
      <c r="E59" s="4" t="s">
        <v>249</v>
      </c>
      <c r="F59" s="23" t="n">
        <v>28.7</v>
      </c>
      <c r="G59" s="4" t="n">
        <v>2019</v>
      </c>
      <c r="H59" s="23" t="n">
        <f aca="false">'Asset-Level Data'!O29</f>
        <v>20.4210027472527</v>
      </c>
      <c r="I59" s="23" t="n">
        <f aca="false">F59*(1-$Q$4)</f>
        <v>22.96</v>
      </c>
      <c r="J59" s="4" t="n">
        <v>2030</v>
      </c>
      <c r="K59" s="9" t="n">
        <f aca="false">(F59-H59)/(F59-I59)</f>
        <v>1.44233401615806</v>
      </c>
      <c r="L59" s="23" t="n">
        <f aca="false">H59-I59</f>
        <v>-2.53899725274725</v>
      </c>
      <c r="M59" s="4" t="str">
        <f aca="false">IF(K59&gt;=1,"Target Met",IF(K59&gt;=0.75,"On Track",IF(K59&gt;=0.4,"At Risk","Off Track")))</f>
        <v>Target Met</v>
      </c>
    </row>
    <row r="60" customFormat="false" ht="15" hidden="false" customHeight="false" outlineLevel="0" collapsed="false">
      <c r="A60" s="4" t="s">
        <v>222</v>
      </c>
      <c r="B60" s="4" t="s">
        <v>223</v>
      </c>
      <c r="C60" s="4" t="s">
        <v>259</v>
      </c>
      <c r="D60" s="4" t="s">
        <v>260</v>
      </c>
      <c r="E60" s="4" t="s">
        <v>249</v>
      </c>
      <c r="F60" s="23" t="n">
        <v>28.3</v>
      </c>
      <c r="G60" s="4" t="n">
        <v>2019</v>
      </c>
      <c r="H60" s="23" t="n">
        <f aca="false">'Asset-Level Data'!O30</f>
        <v>24.418950617284</v>
      </c>
      <c r="I60" s="23" t="n">
        <f aca="false">F60*(1-$Q$4)</f>
        <v>22.64</v>
      </c>
      <c r="J60" s="4" t="n">
        <v>2030</v>
      </c>
      <c r="K60" s="9" t="n">
        <f aca="false">(F60-H60)/(F60-I60)</f>
        <v>0.685697770797889</v>
      </c>
      <c r="L60" s="23" t="n">
        <f aca="false">H60-I60</f>
        <v>1.77895061728395</v>
      </c>
      <c r="M60" s="4" t="str">
        <f aca="false">IF(K60&gt;=1,"Target Met",IF(K60&gt;=0.75,"On Track",IF(K60&gt;=0.4,"At Risk","Off Track")))</f>
        <v>At Risk</v>
      </c>
    </row>
    <row r="61" customFormat="false" ht="15" hidden="false" customHeight="false" outlineLevel="0" collapsed="false">
      <c r="A61" s="4" t="s">
        <v>228</v>
      </c>
      <c r="B61" s="4" t="s">
        <v>229</v>
      </c>
      <c r="C61" s="4" t="s">
        <v>259</v>
      </c>
      <c r="D61" s="4" t="s">
        <v>260</v>
      </c>
      <c r="E61" s="4" t="s">
        <v>249</v>
      </c>
      <c r="F61" s="23" t="n">
        <v>25.3</v>
      </c>
      <c r="G61" s="4" t="n">
        <v>2019</v>
      </c>
      <c r="H61" s="23" t="n">
        <f aca="false">'Asset-Level Data'!O31</f>
        <v>19.3577142857143</v>
      </c>
      <c r="I61" s="23" t="n">
        <f aca="false">F61*(1-$Q$4)</f>
        <v>20.24</v>
      </c>
      <c r="J61" s="4" t="n">
        <v>2030</v>
      </c>
      <c r="K61" s="9" t="n">
        <f aca="false">(F61-H61)/(F61-I61)</f>
        <v>1.17436476566911</v>
      </c>
      <c r="L61" s="23" t="n">
        <f aca="false">H61-I61</f>
        <v>-0.882285714285715</v>
      </c>
      <c r="M61" s="4" t="str">
        <f aca="false">IF(K61&gt;=1,"Target Met",IF(K61&gt;=0.75,"On Track",IF(K61&gt;=0.4,"At Risk","Off Track")))</f>
        <v>Target Met</v>
      </c>
    </row>
    <row r="62" customFormat="false" ht="15" hidden="false" customHeight="false" outlineLevel="0" collapsed="false">
      <c r="A62" s="4" t="s">
        <v>31</v>
      </c>
      <c r="B62" s="4" t="s">
        <v>32</v>
      </c>
      <c r="C62" s="4" t="s">
        <v>261</v>
      </c>
      <c r="D62" s="4" t="s">
        <v>262</v>
      </c>
      <c r="E62" s="4" t="s">
        <v>249</v>
      </c>
      <c r="F62" s="23" t="n">
        <v>306816.4</v>
      </c>
      <c r="G62" s="4" t="n">
        <v>2019</v>
      </c>
      <c r="H62" s="23" t="n">
        <f aca="false">'Asset-Level Data'!T2</f>
        <v>1980000</v>
      </c>
      <c r="I62" s="23" t="n">
        <f aca="false">F62*(1-$Q$5)</f>
        <v>260793.94</v>
      </c>
      <c r="J62" s="4" t="n">
        <v>2030</v>
      </c>
      <c r="K62" s="9" t="n">
        <f aca="false">(F62-H62)/(F62-I62)</f>
        <v>-36.3558054</v>
      </c>
      <c r="L62" s="23" t="n">
        <f aca="false">H62-I62</f>
        <v>1719206.06</v>
      </c>
      <c r="M62" s="4" t="str">
        <f aca="false">IF(K62&gt;=1,"Target Met",IF(K62&gt;=0.75,"On Track",IF(K62&gt;=0.4,"At Risk","Off Track")))</f>
        <v>Off Track</v>
      </c>
    </row>
    <row r="63" customFormat="false" ht="15" hidden="false" customHeight="false" outlineLevel="0" collapsed="false">
      <c r="A63" s="4" t="s">
        <v>44</v>
      </c>
      <c r="B63" s="4" t="s">
        <v>45</v>
      </c>
      <c r="C63" s="4" t="s">
        <v>261</v>
      </c>
      <c r="D63" s="4" t="s">
        <v>262</v>
      </c>
      <c r="E63" s="4" t="s">
        <v>249</v>
      </c>
      <c r="F63" s="23" t="n">
        <v>2312124.4</v>
      </c>
      <c r="G63" s="4" t="n">
        <v>2019</v>
      </c>
      <c r="H63" s="23" t="n">
        <f aca="false">'Asset-Level Data'!T3</f>
        <v>1950469</v>
      </c>
      <c r="I63" s="23" t="n">
        <f aca="false">F63*(1-$Q$5)</f>
        <v>1965305.74</v>
      </c>
      <c r="J63" s="4" t="n">
        <v>2030</v>
      </c>
      <c r="K63" s="9" t="n">
        <f aca="false">(F63-H63)/(F63-I63)</f>
        <v>1.04277953210476</v>
      </c>
      <c r="L63" s="23" t="n">
        <f aca="false">H63-I63</f>
        <v>-14836.7399999998</v>
      </c>
      <c r="M63" s="4" t="str">
        <f aca="false">IF(K63&gt;=1,"Target Met",IF(K63&gt;=0.75,"On Track",IF(K63&gt;=0.4,"At Risk","Off Track")))</f>
        <v>Target Met</v>
      </c>
    </row>
    <row r="64" customFormat="false" ht="15" hidden="false" customHeight="false" outlineLevel="0" collapsed="false">
      <c r="A64" s="4" t="s">
        <v>54</v>
      </c>
      <c r="B64" s="4" t="s">
        <v>55</v>
      </c>
      <c r="C64" s="4" t="s">
        <v>261</v>
      </c>
      <c r="D64" s="4" t="s">
        <v>262</v>
      </c>
      <c r="E64" s="4" t="s">
        <v>249</v>
      </c>
      <c r="F64" s="23" t="n">
        <v>2583311.9</v>
      </c>
      <c r="G64" s="4" t="n">
        <v>2019</v>
      </c>
      <c r="H64" s="23" t="n">
        <f aca="false">'Asset-Level Data'!T4</f>
        <v>2025433</v>
      </c>
      <c r="I64" s="23" t="n">
        <f aca="false">F64*(1-$Q$5)</f>
        <v>2195815.115</v>
      </c>
      <c r="J64" s="4" t="n">
        <v>2030</v>
      </c>
      <c r="K64" s="9" t="n">
        <f aca="false">(F64-H64)/(F64-I64)</f>
        <v>1.43969942873203</v>
      </c>
      <c r="L64" s="23" t="n">
        <f aca="false">H64-I64</f>
        <v>-170382.115</v>
      </c>
      <c r="M64" s="4" t="str">
        <f aca="false">IF(K64&gt;=1,"Target Met",IF(K64&gt;=0.75,"On Track",IF(K64&gt;=0.4,"At Risk","Off Track")))</f>
        <v>Target Met</v>
      </c>
    </row>
    <row r="65" customFormat="false" ht="15" hidden="false" customHeight="false" outlineLevel="0" collapsed="false">
      <c r="A65" s="4" t="s">
        <v>63</v>
      </c>
      <c r="B65" s="4" t="s">
        <v>64</v>
      </c>
      <c r="C65" s="4" t="s">
        <v>261</v>
      </c>
      <c r="D65" s="4" t="s">
        <v>262</v>
      </c>
      <c r="E65" s="4" t="s">
        <v>249</v>
      </c>
      <c r="F65" s="23" t="n">
        <v>3260679.1</v>
      </c>
      <c r="G65" s="4" t="n">
        <v>2019</v>
      </c>
      <c r="H65" s="23" t="n">
        <f aca="false">'Asset-Level Data'!T5</f>
        <v>3089988</v>
      </c>
      <c r="I65" s="23" t="n">
        <f aca="false">F65*(1-$Q$5)</f>
        <v>2771577.235</v>
      </c>
      <c r="J65" s="4" t="n">
        <v>2030</v>
      </c>
      <c r="K65" s="9" t="n">
        <f aca="false">(F65-H65)/(F65-I65)</f>
        <v>0.3489888553</v>
      </c>
      <c r="L65" s="23" t="n">
        <f aca="false">H65-I65</f>
        <v>318410.765</v>
      </c>
      <c r="M65" s="4" t="str">
        <f aca="false">IF(K65&gt;=1,"Target Met",IF(K65&gt;=0.75,"On Track",IF(K65&gt;=0.4,"At Risk","Off Track")))</f>
        <v>Off Track</v>
      </c>
    </row>
    <row r="66" customFormat="false" ht="15" hidden="false" customHeight="false" outlineLevel="0" collapsed="false">
      <c r="A66" s="4" t="s">
        <v>72</v>
      </c>
      <c r="B66" s="4" t="s">
        <v>73</v>
      </c>
      <c r="C66" s="4" t="s">
        <v>261</v>
      </c>
      <c r="D66" s="4" t="s">
        <v>262</v>
      </c>
      <c r="E66" s="4" t="s">
        <v>249</v>
      </c>
      <c r="F66" s="23" t="n">
        <v>2256063.3</v>
      </c>
      <c r="G66" s="4" t="n">
        <v>2019</v>
      </c>
      <c r="H66" s="23" t="n">
        <f aca="false">'Asset-Level Data'!T6</f>
        <v>2757078</v>
      </c>
      <c r="I66" s="23" t="n">
        <f aca="false">F66*(1-$Q$5)</f>
        <v>1917653.805</v>
      </c>
      <c r="J66" s="4" t="n">
        <v>2030</v>
      </c>
      <c r="K66" s="9" t="n">
        <f aca="false">(F66-H66)/(F66-I66)</f>
        <v>-1.480498353</v>
      </c>
      <c r="L66" s="23" t="n">
        <f aca="false">H66-I66</f>
        <v>839424.195</v>
      </c>
      <c r="M66" s="4" t="str">
        <f aca="false">IF(K66&gt;=1,"Target Met",IF(K66&gt;=0.75,"On Track",IF(K66&gt;=0.4,"At Risk","Off Track")))</f>
        <v>Off Track</v>
      </c>
    </row>
    <row r="67" customFormat="false" ht="15" hidden="false" customHeight="false" outlineLevel="0" collapsed="false">
      <c r="A67" s="4" t="s">
        <v>82</v>
      </c>
      <c r="B67" s="4" t="s">
        <v>83</v>
      </c>
      <c r="C67" s="4" t="s">
        <v>261</v>
      </c>
      <c r="D67" s="4" t="s">
        <v>262</v>
      </c>
      <c r="E67" s="4" t="s">
        <v>249</v>
      </c>
      <c r="F67" s="23" t="n">
        <v>2530625.9</v>
      </c>
      <c r="G67" s="4" t="n">
        <v>2019</v>
      </c>
      <c r="H67" s="23" t="n">
        <f aca="false">'Asset-Level Data'!T7</f>
        <v>1951606</v>
      </c>
      <c r="I67" s="23" t="n">
        <f aca="false">F67*(1-$Q$5)</f>
        <v>2151032.015</v>
      </c>
      <c r="J67" s="4" t="n">
        <v>2030</v>
      </c>
      <c r="K67" s="9" t="n">
        <f aca="false">(F67-H67)/(F67-I67)</f>
        <v>1.52536677454643</v>
      </c>
      <c r="L67" s="23" t="n">
        <f aca="false">H67-I67</f>
        <v>-199426.015</v>
      </c>
      <c r="M67" s="4" t="str">
        <f aca="false">IF(K67&gt;=1,"Target Met",IF(K67&gt;=0.75,"On Track",IF(K67&gt;=0.4,"At Risk","Off Track")))</f>
        <v>Target Met</v>
      </c>
    </row>
    <row r="68" customFormat="false" ht="15" hidden="false" customHeight="false" outlineLevel="0" collapsed="false">
      <c r="A68" s="4" t="s">
        <v>89</v>
      </c>
      <c r="B68" s="4" t="s">
        <v>90</v>
      </c>
      <c r="C68" s="4" t="s">
        <v>261</v>
      </c>
      <c r="D68" s="4" t="s">
        <v>262</v>
      </c>
      <c r="E68" s="4" t="s">
        <v>249</v>
      </c>
      <c r="F68" s="23" t="n">
        <v>513371.1</v>
      </c>
      <c r="G68" s="4" t="n">
        <v>2019</v>
      </c>
      <c r="H68" s="23" t="n">
        <f aca="false">'Asset-Level Data'!T8</f>
        <v>1978020</v>
      </c>
      <c r="I68" s="23" t="n">
        <f aca="false">F68*(1-$Q$5)</f>
        <v>436365.435</v>
      </c>
      <c r="J68" s="4" t="n">
        <v>2030</v>
      </c>
      <c r="K68" s="9" t="n">
        <f aca="false">(F68-H68)/(F68-I68)</f>
        <v>-19.02001496</v>
      </c>
      <c r="L68" s="23" t="n">
        <f aca="false">H68-I68</f>
        <v>1541654.565</v>
      </c>
      <c r="M68" s="4" t="str">
        <f aca="false">IF(K68&gt;=1,"Target Met",IF(K68&gt;=0.75,"On Track",IF(K68&gt;=0.4,"At Risk","Off Track")))</f>
        <v>Off Track</v>
      </c>
    </row>
    <row r="69" customFormat="false" ht="15" hidden="false" customHeight="false" outlineLevel="0" collapsed="false">
      <c r="A69" s="4" t="s">
        <v>95</v>
      </c>
      <c r="B69" s="4" t="s">
        <v>96</v>
      </c>
      <c r="C69" s="4" t="s">
        <v>261</v>
      </c>
      <c r="D69" s="4" t="s">
        <v>262</v>
      </c>
      <c r="E69" s="4" t="s">
        <v>249</v>
      </c>
      <c r="F69" s="23" t="n">
        <v>1084513.7</v>
      </c>
      <c r="G69" s="4" t="n">
        <v>2019</v>
      </c>
      <c r="H69" s="23" t="n">
        <f aca="false">'Asset-Level Data'!T9</f>
        <v>803067</v>
      </c>
      <c r="I69" s="23" t="n">
        <f aca="false">F69*(1-$Q$5)</f>
        <v>921836.645</v>
      </c>
      <c r="J69" s="4" t="n">
        <v>2030</v>
      </c>
      <c r="K69" s="9" t="n">
        <f aca="false">(F69-H69)/(F69-I69)</f>
        <v>1.7300946344277</v>
      </c>
      <c r="L69" s="23" t="n">
        <f aca="false">H69-I69</f>
        <v>-118769.645</v>
      </c>
      <c r="M69" s="4" t="str">
        <f aca="false">IF(K69&gt;=1,"Target Met",IF(K69&gt;=0.75,"On Track",IF(K69&gt;=0.4,"At Risk","Off Track")))</f>
        <v>Target Met</v>
      </c>
    </row>
    <row r="70" customFormat="false" ht="15" hidden="false" customHeight="false" outlineLevel="0" collapsed="false">
      <c r="A70" s="4" t="s">
        <v>101</v>
      </c>
      <c r="B70" s="4" t="s">
        <v>102</v>
      </c>
      <c r="C70" s="4" t="s">
        <v>261</v>
      </c>
      <c r="D70" s="4" t="s">
        <v>262</v>
      </c>
      <c r="E70" s="4" t="s">
        <v>249</v>
      </c>
      <c r="F70" s="23" t="n">
        <v>2671010.4</v>
      </c>
      <c r="G70" s="4" t="n">
        <v>2019</v>
      </c>
      <c r="H70" s="23" t="n">
        <f aca="false">'Asset-Level Data'!T10</f>
        <v>1936397</v>
      </c>
      <c r="I70" s="23" t="n">
        <f aca="false">F70*(1-$Q$5)</f>
        <v>2270358.84</v>
      </c>
      <c r="J70" s="4" t="n">
        <v>2030</v>
      </c>
      <c r="K70" s="9" t="n">
        <f aca="false">(F70-H70)/(F70-I70)</f>
        <v>1.83354683555956</v>
      </c>
      <c r="L70" s="23" t="n">
        <f aca="false">H70-I70</f>
        <v>-333961.84</v>
      </c>
      <c r="M70" s="4" t="str">
        <f aca="false">IF(K70&gt;=1,"Target Met",IF(K70&gt;=0.75,"On Track",IF(K70&gt;=0.4,"At Risk","Off Track")))</f>
        <v>Target Met</v>
      </c>
    </row>
    <row r="71" customFormat="false" ht="15" hidden="false" customHeight="false" outlineLevel="0" collapsed="false">
      <c r="A71" s="4" t="s">
        <v>106</v>
      </c>
      <c r="B71" s="4" t="s">
        <v>107</v>
      </c>
      <c r="C71" s="4" t="s">
        <v>261</v>
      </c>
      <c r="D71" s="4" t="s">
        <v>262</v>
      </c>
      <c r="E71" s="4" t="s">
        <v>249</v>
      </c>
      <c r="F71" s="23" t="n">
        <v>1096887.4</v>
      </c>
      <c r="G71" s="4" t="n">
        <v>2019</v>
      </c>
      <c r="H71" s="23" t="n">
        <f aca="false">'Asset-Level Data'!T11</f>
        <v>829776</v>
      </c>
      <c r="I71" s="23" t="n">
        <f aca="false">F71*(1-$Q$5)</f>
        <v>932354.29</v>
      </c>
      <c r="J71" s="4" t="n">
        <v>2030</v>
      </c>
      <c r="K71" s="9" t="n">
        <f aca="false">(F71-H71)/(F71-I71)</f>
        <v>1.62345074495948</v>
      </c>
      <c r="L71" s="23" t="n">
        <f aca="false">H71-I71</f>
        <v>-102578.29</v>
      </c>
      <c r="M71" s="4" t="str">
        <f aca="false">IF(K71&gt;=1,"Target Met",IF(K71&gt;=0.75,"On Track",IF(K71&gt;=0.4,"At Risk","Off Track")))</f>
        <v>Target Met</v>
      </c>
    </row>
    <row r="72" customFormat="false" ht="15" hidden="false" customHeight="false" outlineLevel="0" collapsed="false">
      <c r="A72" s="4" t="s">
        <v>112</v>
      </c>
      <c r="B72" s="4" t="s">
        <v>113</v>
      </c>
      <c r="C72" s="4" t="s">
        <v>261</v>
      </c>
      <c r="D72" s="4" t="s">
        <v>262</v>
      </c>
      <c r="E72" s="4" t="s">
        <v>249</v>
      </c>
      <c r="F72" s="23" t="n">
        <v>474296.4</v>
      </c>
      <c r="G72" s="4" t="n">
        <v>2019</v>
      </c>
      <c r="H72" s="23" t="n">
        <f aca="false">'Asset-Level Data'!T12</f>
        <v>335751</v>
      </c>
      <c r="I72" s="23" t="n">
        <f aca="false">F72*(1-$Q$5)</f>
        <v>403151.94</v>
      </c>
      <c r="J72" s="4" t="n">
        <v>2030</v>
      </c>
      <c r="K72" s="9" t="n">
        <f aca="false">(F72-H72)/(F72-I72)</f>
        <v>1.94738142646666</v>
      </c>
      <c r="L72" s="23" t="n">
        <f aca="false">H72-I72</f>
        <v>-67400.94</v>
      </c>
      <c r="M72" s="4" t="str">
        <f aca="false">IF(K72&gt;=1,"Target Met",IF(K72&gt;=0.75,"On Track",IF(K72&gt;=0.4,"At Risk","Off Track")))</f>
        <v>Target Met</v>
      </c>
    </row>
    <row r="73" customFormat="false" ht="15" hidden="false" customHeight="false" outlineLevel="0" collapsed="false">
      <c r="A73" s="4" t="s">
        <v>119</v>
      </c>
      <c r="B73" s="4" t="s">
        <v>120</v>
      </c>
      <c r="C73" s="4" t="s">
        <v>261</v>
      </c>
      <c r="D73" s="4" t="s">
        <v>262</v>
      </c>
      <c r="E73" s="4" t="s">
        <v>249</v>
      </c>
      <c r="F73" s="23" t="n">
        <v>4544141.4</v>
      </c>
      <c r="G73" s="4" t="n">
        <v>2019</v>
      </c>
      <c r="H73" s="23" t="n">
        <f aca="false">'Asset-Level Data'!T13</f>
        <v>4378752</v>
      </c>
      <c r="I73" s="23" t="n">
        <f aca="false">F73*(1-$Q$5)</f>
        <v>3862520.19</v>
      </c>
      <c r="J73" s="4" t="n">
        <v>2030</v>
      </c>
      <c r="K73" s="9" t="n">
        <f aca="false">(F73-H73)/(F73-I73)</f>
        <v>0.2426412171</v>
      </c>
      <c r="L73" s="23" t="n">
        <f aca="false">H73-I73</f>
        <v>516231.81</v>
      </c>
      <c r="M73" s="4" t="str">
        <f aca="false">IF(K73&gt;=1,"Target Met",IF(K73&gt;=0.75,"On Track",IF(K73&gt;=0.4,"At Risk","Off Track")))</f>
        <v>Off Track</v>
      </c>
    </row>
    <row r="74" customFormat="false" ht="15" hidden="false" customHeight="false" outlineLevel="0" collapsed="false">
      <c r="A74" s="4" t="s">
        <v>125</v>
      </c>
      <c r="B74" s="4" t="s">
        <v>126</v>
      </c>
      <c r="C74" s="4" t="s">
        <v>261</v>
      </c>
      <c r="D74" s="4" t="s">
        <v>262</v>
      </c>
      <c r="E74" s="4" t="s">
        <v>249</v>
      </c>
      <c r="F74" s="23" t="n">
        <v>838924.4</v>
      </c>
      <c r="G74" s="4" t="n">
        <v>2019</v>
      </c>
      <c r="H74" s="23" t="n">
        <f aca="false">'Asset-Level Data'!T14</f>
        <v>617497</v>
      </c>
      <c r="I74" s="23" t="n">
        <f aca="false">F74*(1-$Q$5)</f>
        <v>713085.74</v>
      </c>
      <c r="J74" s="4" t="n">
        <v>2030</v>
      </c>
      <c r="K74" s="9" t="n">
        <f aca="false">(F74-H74)/(F74-I74)</f>
        <v>1.75961346060106</v>
      </c>
      <c r="L74" s="23" t="n">
        <f aca="false">H74-I74</f>
        <v>-95588.74</v>
      </c>
      <c r="M74" s="4" t="str">
        <f aca="false">IF(K74&gt;=1,"Target Met",IF(K74&gt;=0.75,"On Track",IF(K74&gt;=0.4,"At Risk","Off Track")))</f>
        <v>Target Met</v>
      </c>
    </row>
    <row r="75" customFormat="false" ht="15" hidden="false" customHeight="false" outlineLevel="0" collapsed="false">
      <c r="A75" s="4" t="s">
        <v>131</v>
      </c>
      <c r="B75" s="4" t="s">
        <v>132</v>
      </c>
      <c r="C75" s="4" t="s">
        <v>261</v>
      </c>
      <c r="D75" s="4" t="s">
        <v>262</v>
      </c>
      <c r="E75" s="4" t="s">
        <v>249</v>
      </c>
      <c r="F75" s="23" t="n">
        <v>3547953.1</v>
      </c>
      <c r="G75" s="4" t="n">
        <v>2019</v>
      </c>
      <c r="H75" s="23" t="n">
        <f aca="false">'Asset-Level Data'!T15</f>
        <v>5231520</v>
      </c>
      <c r="I75" s="23" t="n">
        <f aca="false">F75*(1-$Q$5)</f>
        <v>3015760.135</v>
      </c>
      <c r="J75" s="4" t="n">
        <v>2030</v>
      </c>
      <c r="K75" s="9" t="n">
        <f aca="false">(F75-H75)/(F75-I75)</f>
        <v>-3.163452001</v>
      </c>
      <c r="L75" s="23" t="n">
        <f aca="false">H75-I75</f>
        <v>2215759.865</v>
      </c>
      <c r="M75" s="4" t="str">
        <f aca="false">IF(K75&gt;=1,"Target Met",IF(K75&gt;=0.75,"On Track",IF(K75&gt;=0.4,"At Risk","Off Track")))</f>
        <v>Off Track</v>
      </c>
    </row>
    <row r="76" customFormat="false" ht="15" hidden="false" customHeight="false" outlineLevel="0" collapsed="false">
      <c r="A76" s="4" t="s">
        <v>136</v>
      </c>
      <c r="B76" s="4" t="s">
        <v>137</v>
      </c>
      <c r="C76" s="4" t="s">
        <v>261</v>
      </c>
      <c r="D76" s="4" t="s">
        <v>262</v>
      </c>
      <c r="E76" s="4" t="s">
        <v>249</v>
      </c>
      <c r="F76" s="23" t="n">
        <v>2717881.1</v>
      </c>
      <c r="G76" s="4" t="n">
        <v>2019</v>
      </c>
      <c r="H76" s="23" t="n">
        <f aca="false">'Asset-Level Data'!T16</f>
        <v>3692520</v>
      </c>
      <c r="I76" s="23" t="n">
        <f aca="false">F76*(1-$Q$5)</f>
        <v>2310198.935</v>
      </c>
      <c r="J76" s="4" t="n">
        <v>2030</v>
      </c>
      <c r="K76" s="9" t="n">
        <f aca="false">(F76-H76)/(F76-I76)</f>
        <v>-2.390683193</v>
      </c>
      <c r="L76" s="23" t="n">
        <f aca="false">H76-I76</f>
        <v>1382321.065</v>
      </c>
      <c r="M76" s="4" t="str">
        <f aca="false">IF(K76&gt;=1,"Target Met",IF(K76&gt;=0.75,"On Track",IF(K76&gt;=0.4,"At Risk","Off Track")))</f>
        <v>Off Track</v>
      </c>
    </row>
    <row r="77" customFormat="false" ht="15" hidden="false" customHeight="false" outlineLevel="0" collapsed="false">
      <c r="A77" s="4" t="s">
        <v>142</v>
      </c>
      <c r="B77" s="4" t="s">
        <v>143</v>
      </c>
      <c r="C77" s="4" t="s">
        <v>261</v>
      </c>
      <c r="D77" s="4" t="s">
        <v>262</v>
      </c>
      <c r="E77" s="4" t="s">
        <v>249</v>
      </c>
      <c r="F77" s="23" t="n">
        <v>6946085.1</v>
      </c>
      <c r="G77" s="4" t="n">
        <v>2019</v>
      </c>
      <c r="H77" s="23" t="n">
        <f aca="false">'Asset-Level Data'!T17</f>
        <v>6979005</v>
      </c>
      <c r="I77" s="23" t="n">
        <f aca="false">F77*(1-$Q$5)</f>
        <v>5904172.335</v>
      </c>
      <c r="J77" s="4" t="n">
        <v>2030</v>
      </c>
      <c r="K77" s="9" t="n">
        <f aca="false">(F77-H77)/(F77-I77)</f>
        <v>-0.03159563939</v>
      </c>
      <c r="L77" s="23" t="n">
        <f aca="false">H77-I77</f>
        <v>1074832.665</v>
      </c>
      <c r="M77" s="4" t="str">
        <f aca="false">IF(K77&gt;=1,"Target Met",IF(K77&gt;=0.75,"On Track",IF(K77&gt;=0.4,"At Risk","Off Track")))</f>
        <v>Off Track</v>
      </c>
    </row>
    <row r="78" customFormat="false" ht="15" hidden="false" customHeight="false" outlineLevel="0" collapsed="false">
      <c r="A78" s="4" t="s">
        <v>148</v>
      </c>
      <c r="B78" s="4" t="s">
        <v>149</v>
      </c>
      <c r="C78" s="4" t="s">
        <v>261</v>
      </c>
      <c r="D78" s="4" t="s">
        <v>262</v>
      </c>
      <c r="E78" s="4" t="s">
        <v>249</v>
      </c>
      <c r="F78" s="23" t="n">
        <v>2586481.5</v>
      </c>
      <c r="G78" s="4" t="n">
        <v>2019</v>
      </c>
      <c r="H78" s="23" t="n">
        <f aca="false">'Asset-Level Data'!T18</f>
        <v>1844864</v>
      </c>
      <c r="I78" s="23" t="n">
        <f aca="false">F78*(1-$Q$5)</f>
        <v>2198509.275</v>
      </c>
      <c r="J78" s="4" t="n">
        <v>2030</v>
      </c>
      <c r="K78" s="9" t="n">
        <f aca="false">(F78-H78)/(F78-I78)</f>
        <v>1.91152214568968</v>
      </c>
      <c r="L78" s="23" t="n">
        <f aca="false">H78-I78</f>
        <v>-353645.275</v>
      </c>
      <c r="M78" s="4" t="str">
        <f aca="false">IF(K78&gt;=1,"Target Met",IF(K78&gt;=0.75,"On Track",IF(K78&gt;=0.4,"At Risk","Off Track")))</f>
        <v>Target Met</v>
      </c>
    </row>
    <row r="79" customFormat="false" ht="15" hidden="false" customHeight="false" outlineLevel="0" collapsed="false">
      <c r="A79" s="4" t="s">
        <v>155</v>
      </c>
      <c r="B79" s="4" t="s">
        <v>156</v>
      </c>
      <c r="C79" s="4" t="s">
        <v>261</v>
      </c>
      <c r="D79" s="4" t="s">
        <v>262</v>
      </c>
      <c r="E79" s="4" t="s">
        <v>249</v>
      </c>
      <c r="F79" s="23" t="n">
        <v>488970.1</v>
      </c>
      <c r="G79" s="4" t="n">
        <v>2019</v>
      </c>
      <c r="H79" s="23" t="n">
        <f aca="false">'Asset-Level Data'!T19</f>
        <v>796320</v>
      </c>
      <c r="I79" s="23" t="n">
        <f aca="false">F79*(1-$Q$5)</f>
        <v>415624.585</v>
      </c>
      <c r="J79" s="4" t="n">
        <v>2030</v>
      </c>
      <c r="K79" s="9" t="n">
        <f aca="false">(F79-H79)/(F79-I79)</f>
        <v>-4.190438911</v>
      </c>
      <c r="L79" s="23" t="n">
        <f aca="false">H79-I79</f>
        <v>380695.415</v>
      </c>
      <c r="M79" s="4" t="str">
        <f aca="false">IF(K79&gt;=1,"Target Met",IF(K79&gt;=0.75,"On Track",IF(K79&gt;=0.4,"At Risk","Off Track")))</f>
        <v>Off Track</v>
      </c>
    </row>
    <row r="80" customFormat="false" ht="15" hidden="false" customHeight="false" outlineLevel="0" collapsed="false">
      <c r="A80" s="4" t="s">
        <v>161</v>
      </c>
      <c r="B80" s="4" t="s">
        <v>162</v>
      </c>
      <c r="C80" s="4" t="s">
        <v>261</v>
      </c>
      <c r="D80" s="4" t="s">
        <v>262</v>
      </c>
      <c r="E80" s="4" t="s">
        <v>249</v>
      </c>
      <c r="F80" s="23" t="n">
        <v>3950076.8</v>
      </c>
      <c r="G80" s="4" t="n">
        <v>2019</v>
      </c>
      <c r="H80" s="23" t="n">
        <f aca="false">'Asset-Level Data'!T20</f>
        <v>3056792</v>
      </c>
      <c r="I80" s="23" t="n">
        <f aca="false">F80*(1-$Q$5)</f>
        <v>3357565.28</v>
      </c>
      <c r="J80" s="4" t="n">
        <v>2030</v>
      </c>
      <c r="K80" s="9" t="n">
        <f aca="false">(F80-H80)/(F80-I80)</f>
        <v>1.50762435808843</v>
      </c>
      <c r="L80" s="23" t="n">
        <f aca="false">H80-I80</f>
        <v>-300773.28</v>
      </c>
      <c r="M80" s="4" t="str">
        <f aca="false">IF(K80&gt;=1,"Target Met",IF(K80&gt;=0.75,"On Track",IF(K80&gt;=0.4,"At Risk","Off Track")))</f>
        <v>Target Met</v>
      </c>
    </row>
    <row r="81" customFormat="false" ht="15" hidden="false" customHeight="false" outlineLevel="0" collapsed="false">
      <c r="A81" s="4" t="s">
        <v>167</v>
      </c>
      <c r="B81" s="4" t="s">
        <v>168</v>
      </c>
      <c r="C81" s="4" t="s">
        <v>261</v>
      </c>
      <c r="D81" s="4" t="s">
        <v>262</v>
      </c>
      <c r="E81" s="4" t="s">
        <v>249</v>
      </c>
      <c r="F81" s="23" t="n">
        <v>5220856.2</v>
      </c>
      <c r="G81" s="4" t="n">
        <v>2019</v>
      </c>
      <c r="H81" s="23" t="n">
        <f aca="false">'Asset-Level Data'!T21</f>
        <v>3869463</v>
      </c>
      <c r="I81" s="23" t="n">
        <f aca="false">F81*(1-$Q$5)</f>
        <v>4437727.77</v>
      </c>
      <c r="J81" s="4" t="n">
        <v>2030</v>
      </c>
      <c r="K81" s="9" t="n">
        <f aca="false">(F81-H81)/(F81-I81)</f>
        <v>1.72563419770114</v>
      </c>
      <c r="L81" s="23" t="n">
        <f aca="false">H81-I81</f>
        <v>-568264.770000001</v>
      </c>
      <c r="M81" s="4" t="str">
        <f aca="false">IF(K81&gt;=1,"Target Met",IF(K81&gt;=0.75,"On Track",IF(K81&gt;=0.4,"At Risk","Off Track")))</f>
        <v>Target Met</v>
      </c>
    </row>
    <row r="82" customFormat="false" ht="15" hidden="false" customHeight="false" outlineLevel="0" collapsed="false">
      <c r="A82" s="4" t="s">
        <v>174</v>
      </c>
      <c r="B82" s="4" t="s">
        <v>175</v>
      </c>
      <c r="C82" s="4" t="s">
        <v>261</v>
      </c>
      <c r="D82" s="4" t="s">
        <v>262</v>
      </c>
      <c r="E82" s="4" t="s">
        <v>249</v>
      </c>
      <c r="F82" s="23" t="n">
        <v>2472887.2</v>
      </c>
      <c r="G82" s="4" t="n">
        <v>2019</v>
      </c>
      <c r="H82" s="23" t="n">
        <f aca="false">'Asset-Level Data'!T22</f>
        <v>2116834</v>
      </c>
      <c r="I82" s="23" t="n">
        <f aca="false">F82*(1-$Q$5)</f>
        <v>2101954.12</v>
      </c>
      <c r="J82" s="4" t="n">
        <v>2030</v>
      </c>
      <c r="K82" s="9" t="n">
        <f aca="false">(F82-H82)/(F82-I82)</f>
        <v>0.959885270949682</v>
      </c>
      <c r="L82" s="23" t="n">
        <f aca="false">H82-I82</f>
        <v>14879.8799999999</v>
      </c>
      <c r="M82" s="4" t="str">
        <f aca="false">IF(K82&gt;=1,"Target Met",IF(K82&gt;=0.75,"On Track",IF(K82&gt;=0.4,"At Risk","Off Track")))</f>
        <v>On Track</v>
      </c>
    </row>
    <row r="83" customFormat="false" ht="15" hidden="false" customHeight="false" outlineLevel="0" collapsed="false">
      <c r="A83" s="4" t="s">
        <v>179</v>
      </c>
      <c r="B83" s="4" t="s">
        <v>180</v>
      </c>
      <c r="C83" s="4" t="s">
        <v>261</v>
      </c>
      <c r="D83" s="4" t="s">
        <v>262</v>
      </c>
      <c r="E83" s="4" t="s">
        <v>249</v>
      </c>
      <c r="F83" s="23" t="n">
        <v>3430185</v>
      </c>
      <c r="G83" s="4" t="n">
        <v>2019</v>
      </c>
      <c r="H83" s="23" t="n">
        <f aca="false">'Asset-Level Data'!T23</f>
        <v>2521365</v>
      </c>
      <c r="I83" s="23" t="n">
        <f aca="false">F83*(1-$Q$5)</f>
        <v>2915657.25</v>
      </c>
      <c r="J83" s="4" t="n">
        <v>2030</v>
      </c>
      <c r="K83" s="9" t="n">
        <f aca="false">(F83-H83)/(F83-I83)</f>
        <v>1.76631872624946</v>
      </c>
      <c r="L83" s="23" t="n">
        <f aca="false">H83-I83</f>
        <v>-394292.25</v>
      </c>
      <c r="M83" s="4" t="str">
        <f aca="false">IF(K83&gt;=1,"Target Met",IF(K83&gt;=0.75,"On Track",IF(K83&gt;=0.4,"At Risk","Off Track")))</f>
        <v>Target Met</v>
      </c>
    </row>
    <row r="84" customFormat="false" ht="15" hidden="false" customHeight="false" outlineLevel="0" collapsed="false">
      <c r="A84" s="4" t="s">
        <v>185</v>
      </c>
      <c r="B84" s="4" t="s">
        <v>186</v>
      </c>
      <c r="C84" s="4" t="s">
        <v>261</v>
      </c>
      <c r="D84" s="4" t="s">
        <v>262</v>
      </c>
      <c r="E84" s="4" t="s">
        <v>249</v>
      </c>
      <c r="F84" s="23" t="n">
        <v>5406170</v>
      </c>
      <c r="G84" s="4" t="n">
        <v>2019</v>
      </c>
      <c r="H84" s="23" t="n">
        <f aca="false">'Asset-Level Data'!T24</f>
        <v>4651020</v>
      </c>
      <c r="I84" s="23" t="n">
        <f aca="false">F84*(1-$Q$5)</f>
        <v>4595244.5</v>
      </c>
      <c r="J84" s="4" t="n">
        <v>2030</v>
      </c>
      <c r="K84" s="9" t="n">
        <f aca="false">(F84-H84)/(F84-I84)</f>
        <v>0.9312199456</v>
      </c>
      <c r="L84" s="23" t="n">
        <f aca="false">H84-I84</f>
        <v>55775.5</v>
      </c>
      <c r="M84" s="4" t="str">
        <f aca="false">IF(K84&gt;=1,"Target Met",IF(K84&gt;=0.75,"On Track",IF(K84&gt;=0.4,"At Risk","Off Track")))</f>
        <v>On Track</v>
      </c>
    </row>
    <row r="85" customFormat="false" ht="15" hidden="false" customHeight="false" outlineLevel="0" collapsed="false">
      <c r="A85" s="4" t="s">
        <v>191</v>
      </c>
      <c r="B85" s="4" t="s">
        <v>192</v>
      </c>
      <c r="C85" s="4" t="s">
        <v>261</v>
      </c>
      <c r="D85" s="4" t="s">
        <v>262</v>
      </c>
      <c r="E85" s="4" t="s">
        <v>249</v>
      </c>
      <c r="F85" s="23" t="n">
        <v>2368388.7</v>
      </c>
      <c r="G85" s="4" t="n">
        <v>2019</v>
      </c>
      <c r="H85" s="23" t="n">
        <f aca="false">'Asset-Level Data'!T25</f>
        <v>1635708</v>
      </c>
      <c r="I85" s="23" t="n">
        <f aca="false">F85*(1-$Q$5)</f>
        <v>2013130.395</v>
      </c>
      <c r="J85" s="4" t="n">
        <v>2030</v>
      </c>
      <c r="K85" s="9" t="n">
        <f aca="false">(F85-H85)/(F85-I85)</f>
        <v>2.062388661118</v>
      </c>
      <c r="L85" s="23" t="n">
        <f aca="false">H85-I85</f>
        <v>-377422.395</v>
      </c>
      <c r="M85" s="4" t="str">
        <f aca="false">IF(K85&gt;=1,"Target Met",IF(K85&gt;=0.75,"On Track",IF(K85&gt;=0.4,"At Risk","Off Track")))</f>
        <v>Target Met</v>
      </c>
    </row>
    <row r="86" customFormat="false" ht="15" hidden="false" customHeight="false" outlineLevel="0" collapsed="false">
      <c r="A86" s="4" t="s">
        <v>197</v>
      </c>
      <c r="B86" s="4" t="s">
        <v>198</v>
      </c>
      <c r="C86" s="4" t="s">
        <v>261</v>
      </c>
      <c r="D86" s="4" t="s">
        <v>262</v>
      </c>
      <c r="E86" s="4" t="s">
        <v>249</v>
      </c>
      <c r="F86" s="23" t="n">
        <v>3730199.7</v>
      </c>
      <c r="G86" s="4" t="n">
        <v>2019</v>
      </c>
      <c r="H86" s="23" t="n">
        <f aca="false">'Asset-Level Data'!T26</f>
        <v>2670958</v>
      </c>
      <c r="I86" s="23" t="n">
        <f aca="false">F86*(1-$Q$5)</f>
        <v>3170669.745</v>
      </c>
      <c r="J86" s="4" t="n">
        <v>2030</v>
      </c>
      <c r="K86" s="9" t="n">
        <f aca="false">(F86-H86)/(F86-I86)</f>
        <v>1.89309203293682</v>
      </c>
      <c r="L86" s="23" t="n">
        <f aca="false">H86-I86</f>
        <v>-499711.745</v>
      </c>
      <c r="M86" s="4" t="str">
        <f aca="false">IF(K86&gt;=1,"Target Met",IF(K86&gt;=0.75,"On Track",IF(K86&gt;=0.4,"At Risk","Off Track")))</f>
        <v>Target Met</v>
      </c>
    </row>
    <row r="87" customFormat="false" ht="15" hidden="false" customHeight="false" outlineLevel="0" collapsed="false">
      <c r="A87" s="4" t="s">
        <v>203</v>
      </c>
      <c r="B87" s="4" t="s">
        <v>204</v>
      </c>
      <c r="C87" s="4" t="s">
        <v>261</v>
      </c>
      <c r="D87" s="4" t="s">
        <v>262</v>
      </c>
      <c r="E87" s="4" t="s">
        <v>249</v>
      </c>
      <c r="F87" s="23" t="n">
        <v>4770331.4</v>
      </c>
      <c r="G87" s="4" t="n">
        <v>2019</v>
      </c>
      <c r="H87" s="23" t="n">
        <f aca="false">'Asset-Level Data'!T27</f>
        <v>8239104</v>
      </c>
      <c r="I87" s="23" t="n">
        <f aca="false">F87*(1-$Q$5)</f>
        <v>4054781.69</v>
      </c>
      <c r="J87" s="4" t="n">
        <v>2030</v>
      </c>
      <c r="K87" s="9" t="n">
        <f aca="false">(F87-H87)/(F87-I87)</f>
        <v>-4.847703174</v>
      </c>
      <c r="L87" s="23" t="n">
        <f aca="false">H87-I87</f>
        <v>4184322.31</v>
      </c>
      <c r="M87" s="4" t="str">
        <f aca="false">IF(K87&gt;=1,"Target Met",IF(K87&gt;=0.75,"On Track",IF(K87&gt;=0.4,"At Risk","Off Track")))</f>
        <v>Off Track</v>
      </c>
    </row>
    <row r="88" customFormat="false" ht="15" hidden="false" customHeight="false" outlineLevel="0" collapsed="false">
      <c r="A88" s="4" t="s">
        <v>210</v>
      </c>
      <c r="B88" s="4" t="s">
        <v>211</v>
      </c>
      <c r="C88" s="4" t="s">
        <v>261</v>
      </c>
      <c r="D88" s="4" t="s">
        <v>262</v>
      </c>
      <c r="E88" s="4" t="s">
        <v>249</v>
      </c>
      <c r="F88" s="23" t="n">
        <v>2890420.1</v>
      </c>
      <c r="G88" s="4" t="n">
        <v>2019</v>
      </c>
      <c r="H88" s="23" t="n">
        <f aca="false">'Asset-Level Data'!T28</f>
        <v>2226346</v>
      </c>
      <c r="I88" s="23" t="n">
        <f aca="false">F88*(1-$Q$5)</f>
        <v>2456857.085</v>
      </c>
      <c r="J88" s="4" t="n">
        <v>2030</v>
      </c>
      <c r="K88" s="9" t="n">
        <f aca="false">(F88-H88)/(F88-I88)</f>
        <v>1.53166685585485</v>
      </c>
      <c r="L88" s="23" t="n">
        <f aca="false">H88-I88</f>
        <v>-230511.085</v>
      </c>
      <c r="M88" s="4" t="str">
        <f aca="false">IF(K88&gt;=1,"Target Met",IF(K88&gt;=0.75,"On Track",IF(K88&gt;=0.4,"At Risk","Off Track")))</f>
        <v>Target Met</v>
      </c>
    </row>
    <row r="89" customFormat="false" ht="15" hidden="false" customHeight="false" outlineLevel="0" collapsed="false">
      <c r="A89" s="4" t="s">
        <v>216</v>
      </c>
      <c r="B89" s="4" t="s">
        <v>217</v>
      </c>
      <c r="C89" s="4" t="s">
        <v>261</v>
      </c>
      <c r="D89" s="4" t="s">
        <v>262</v>
      </c>
      <c r="E89" s="4" t="s">
        <v>249</v>
      </c>
      <c r="F89" s="23" t="n">
        <v>1978063</v>
      </c>
      <c r="G89" s="4" t="n">
        <v>2019</v>
      </c>
      <c r="H89" s="23" t="n">
        <f aca="false">'Asset-Level Data'!T29</f>
        <v>1483500</v>
      </c>
      <c r="I89" s="23" t="n">
        <f aca="false">F89*(1-$Q$5)</f>
        <v>1681353.55</v>
      </c>
      <c r="J89" s="4" t="n">
        <v>2030</v>
      </c>
      <c r="K89" s="9" t="n">
        <f aca="false">(F89-H89)/(F89-I89)</f>
        <v>1.66682591336407</v>
      </c>
      <c r="L89" s="23" t="n">
        <f aca="false">H89-I89</f>
        <v>-197853.55</v>
      </c>
      <c r="M89" s="4" t="str">
        <f aca="false">IF(K89&gt;=1,"Target Met",IF(K89&gt;=0.75,"On Track",IF(K89&gt;=0.4,"At Risk","Off Track")))</f>
        <v>Target Met</v>
      </c>
    </row>
    <row r="90" customFormat="false" ht="15" hidden="false" customHeight="false" outlineLevel="0" collapsed="false">
      <c r="A90" s="4" t="s">
        <v>222</v>
      </c>
      <c r="B90" s="4" t="s">
        <v>223</v>
      </c>
      <c r="C90" s="4" t="s">
        <v>261</v>
      </c>
      <c r="D90" s="4" t="s">
        <v>262</v>
      </c>
      <c r="E90" s="4" t="s">
        <v>249</v>
      </c>
      <c r="F90" s="23" t="n">
        <v>6625797.1</v>
      </c>
      <c r="G90" s="4" t="n">
        <v>2019</v>
      </c>
      <c r="H90" s="23" t="n">
        <f aca="false">'Asset-Level Data'!T30</f>
        <v>6881760</v>
      </c>
      <c r="I90" s="23" t="n">
        <f aca="false">F90*(1-$Q$5)</f>
        <v>5631927.535</v>
      </c>
      <c r="J90" s="4" t="n">
        <v>2030</v>
      </c>
      <c r="K90" s="9" t="n">
        <f aca="false">(F90-H90)/(F90-I90)</f>
        <v>-0.2575417429</v>
      </c>
      <c r="L90" s="23" t="n">
        <f aca="false">H90-I90</f>
        <v>1249832.465</v>
      </c>
      <c r="M90" s="4" t="str">
        <f aca="false">IF(K90&gt;=1,"Target Met",IF(K90&gt;=0.75,"On Track",IF(K90&gt;=0.4,"At Risk","Off Track")))</f>
        <v>Off Track</v>
      </c>
    </row>
    <row r="91" customFormat="false" ht="15" hidden="false" customHeight="false" outlineLevel="0" collapsed="false">
      <c r="A91" s="4" t="s">
        <v>228</v>
      </c>
      <c r="B91" s="4" t="s">
        <v>229</v>
      </c>
      <c r="C91" s="4" t="s">
        <v>261</v>
      </c>
      <c r="D91" s="4" t="s">
        <v>262</v>
      </c>
      <c r="E91" s="4" t="s">
        <v>249</v>
      </c>
      <c r="F91" s="23" t="n">
        <v>3647661.3</v>
      </c>
      <c r="G91" s="4" t="n">
        <v>2019</v>
      </c>
      <c r="H91" s="23" t="n">
        <f aca="false">'Asset-Level Data'!T31</f>
        <v>2791101</v>
      </c>
      <c r="I91" s="23" t="n">
        <f aca="false">F91*(1-$Q$5)</f>
        <v>3100512.105</v>
      </c>
      <c r="J91" s="4" t="n">
        <v>2030</v>
      </c>
      <c r="K91" s="9" t="n">
        <f aca="false">(F91-H91)/(F91-I91)</f>
        <v>1.56549677460459</v>
      </c>
      <c r="L91" s="23" t="n">
        <f aca="false">H91-I91</f>
        <v>-309411.105</v>
      </c>
      <c r="M91" s="4" t="str">
        <f aca="false">IF(K91&gt;=1,"Target Met",IF(K91&gt;=0.75,"On Track",IF(K91&gt;=0.4,"At Risk","Off Track")))</f>
        <v>Target Met</v>
      </c>
    </row>
    <row r="92" customFormat="false" ht="15" hidden="false" customHeight="false" outlineLevel="0" collapsed="false">
      <c r="A92" s="4" t="s">
        <v>31</v>
      </c>
      <c r="B92" s="4" t="s">
        <v>32</v>
      </c>
      <c r="C92" s="4" t="s">
        <v>263</v>
      </c>
      <c r="D92" s="4" t="s">
        <v>264</v>
      </c>
      <c r="E92" s="4" t="s">
        <v>265</v>
      </c>
      <c r="F92" s="9" t="n">
        <v>0.342</v>
      </c>
      <c r="G92" s="4" t="n">
        <v>2023</v>
      </c>
      <c r="H92" s="9" t="n">
        <f aca="false">'Asset-Level Data'!V2</f>
        <v>0.539</v>
      </c>
      <c r="I92" s="9" t="n">
        <f aca="false">$Q$7</f>
        <v>0.75</v>
      </c>
      <c r="J92" s="4" t="n">
        <v>2028</v>
      </c>
      <c r="K92" s="9" t="n">
        <f aca="false">(H92-F92)/(I92-F92)</f>
        <v>0.482843137254902</v>
      </c>
      <c r="L92" s="9" t="n">
        <f aca="false">H92-I92</f>
        <v>-0.211</v>
      </c>
      <c r="M92" s="4" t="str">
        <f aca="false">IF(K92&gt;=1,"Target Met",IF(K92&gt;=0.75,"On Track",IF(K92&gt;=0.4,"At Risk","Off Track")))</f>
        <v>At Risk</v>
      </c>
    </row>
    <row r="93" customFormat="false" ht="15" hidden="false" customHeight="false" outlineLevel="0" collapsed="false">
      <c r="A93" s="4" t="s">
        <v>44</v>
      </c>
      <c r="B93" s="4" t="s">
        <v>45</v>
      </c>
      <c r="C93" s="4" t="s">
        <v>263</v>
      </c>
      <c r="D93" s="4" t="s">
        <v>264</v>
      </c>
      <c r="E93" s="4" t="s">
        <v>265</v>
      </c>
      <c r="F93" s="9" t="n">
        <v>0.281</v>
      </c>
      <c r="G93" s="4" t="n">
        <v>2023</v>
      </c>
      <c r="H93" s="9" t="n">
        <f aca="false">'Asset-Level Data'!V3</f>
        <v>0.422</v>
      </c>
      <c r="I93" s="9" t="n">
        <f aca="false">$Q$7</f>
        <v>0.75</v>
      </c>
      <c r="J93" s="4" t="n">
        <v>2028</v>
      </c>
      <c r="K93" s="9" t="n">
        <f aca="false">(H93-F93)/(I93-F93)</f>
        <v>0.300639658848614</v>
      </c>
      <c r="L93" s="9" t="n">
        <f aca="false">H93-I93</f>
        <v>-0.328</v>
      </c>
      <c r="M93" s="4" t="str">
        <f aca="false">IF(K93&gt;=1,"Target Met",IF(K93&gt;=0.75,"On Track",IF(K93&gt;=0.4,"At Risk","Off Track")))</f>
        <v>Off Track</v>
      </c>
    </row>
    <row r="94" customFormat="false" ht="15" hidden="false" customHeight="false" outlineLevel="0" collapsed="false">
      <c r="A94" s="4" t="s">
        <v>54</v>
      </c>
      <c r="B94" s="4" t="s">
        <v>55</v>
      </c>
      <c r="C94" s="4" t="s">
        <v>263</v>
      </c>
      <c r="D94" s="4" t="s">
        <v>264</v>
      </c>
      <c r="E94" s="4" t="s">
        <v>265</v>
      </c>
      <c r="F94" s="9" t="n">
        <v>0.17</v>
      </c>
      <c r="G94" s="4" t="n">
        <v>2023</v>
      </c>
      <c r="H94" s="9" t="n">
        <f aca="false">'Asset-Level Data'!V4</f>
        <v>0.226</v>
      </c>
      <c r="I94" s="9" t="n">
        <f aca="false">$Q$7</f>
        <v>0.75</v>
      </c>
      <c r="J94" s="4" t="n">
        <v>2028</v>
      </c>
      <c r="K94" s="9" t="n">
        <f aca="false">(H94-F94)/(I94-F94)</f>
        <v>0.096551724137931</v>
      </c>
      <c r="L94" s="9" t="n">
        <f aca="false">H94-I94</f>
        <v>-0.524</v>
      </c>
      <c r="M94" s="4" t="str">
        <f aca="false">IF(K94&gt;=1,"Target Met",IF(K94&gt;=0.75,"On Track",IF(K94&gt;=0.4,"At Risk","Off Track")))</f>
        <v>Off Track</v>
      </c>
    </row>
    <row r="95" customFormat="false" ht="15" hidden="false" customHeight="false" outlineLevel="0" collapsed="false">
      <c r="A95" s="4" t="s">
        <v>63</v>
      </c>
      <c r="B95" s="4" t="s">
        <v>64</v>
      </c>
      <c r="C95" s="4" t="s">
        <v>263</v>
      </c>
      <c r="D95" s="4" t="s">
        <v>264</v>
      </c>
      <c r="E95" s="4" t="s">
        <v>265</v>
      </c>
      <c r="F95" s="9" t="n">
        <v>0.151</v>
      </c>
      <c r="G95" s="4" t="n">
        <v>2023</v>
      </c>
      <c r="H95" s="9" t="n">
        <f aca="false">'Asset-Level Data'!V5</f>
        <v>0.271</v>
      </c>
      <c r="I95" s="9" t="n">
        <f aca="false">$Q$7</f>
        <v>0.75</v>
      </c>
      <c r="J95" s="4" t="n">
        <v>2028</v>
      </c>
      <c r="K95" s="9" t="n">
        <f aca="false">(H95-F95)/(I95-F95)</f>
        <v>0.200333889816361</v>
      </c>
      <c r="L95" s="9" t="n">
        <f aca="false">H95-I95</f>
        <v>-0.479</v>
      </c>
      <c r="M95" s="4" t="str">
        <f aca="false">IF(K95&gt;=1,"Target Met",IF(K95&gt;=0.75,"On Track",IF(K95&gt;=0.4,"At Risk","Off Track")))</f>
        <v>Off Track</v>
      </c>
    </row>
    <row r="96" customFormat="false" ht="15" hidden="false" customHeight="false" outlineLevel="0" collapsed="false">
      <c r="A96" s="4" t="s">
        <v>72</v>
      </c>
      <c r="B96" s="4" t="s">
        <v>73</v>
      </c>
      <c r="C96" s="4" t="s">
        <v>263</v>
      </c>
      <c r="D96" s="4" t="s">
        <v>264</v>
      </c>
      <c r="E96" s="4" t="s">
        <v>265</v>
      </c>
      <c r="F96" s="9" t="n">
        <v>0.293</v>
      </c>
      <c r="G96" s="4" t="n">
        <v>2023</v>
      </c>
      <c r="H96" s="9" t="n">
        <f aca="false">'Asset-Level Data'!V6</f>
        <v>0.426</v>
      </c>
      <c r="I96" s="9" t="n">
        <f aca="false">$Q$7</f>
        <v>0.75</v>
      </c>
      <c r="J96" s="4" t="n">
        <v>2028</v>
      </c>
      <c r="K96" s="9" t="n">
        <f aca="false">(H96-F96)/(I96-F96)</f>
        <v>0.291028446389497</v>
      </c>
      <c r="L96" s="9" t="n">
        <f aca="false">H96-I96</f>
        <v>-0.324</v>
      </c>
      <c r="M96" s="4" t="str">
        <f aca="false">IF(K96&gt;=1,"Target Met",IF(K96&gt;=0.75,"On Track",IF(K96&gt;=0.4,"At Risk","Off Track")))</f>
        <v>Off Track</v>
      </c>
    </row>
    <row r="97" customFormat="false" ht="15" hidden="false" customHeight="false" outlineLevel="0" collapsed="false">
      <c r="A97" s="4" t="s">
        <v>82</v>
      </c>
      <c r="B97" s="4" t="s">
        <v>83</v>
      </c>
      <c r="C97" s="4" t="s">
        <v>263</v>
      </c>
      <c r="D97" s="4" t="s">
        <v>264</v>
      </c>
      <c r="E97" s="4" t="s">
        <v>265</v>
      </c>
      <c r="F97" s="9" t="n">
        <v>0.432</v>
      </c>
      <c r="G97" s="4" t="n">
        <v>2023</v>
      </c>
      <c r="H97" s="9" t="n">
        <f aca="false">'Asset-Level Data'!V7</f>
        <v>0.719</v>
      </c>
      <c r="I97" s="9" t="n">
        <f aca="false">$Q$7</f>
        <v>0.75</v>
      </c>
      <c r="J97" s="4" t="n">
        <v>2028</v>
      </c>
      <c r="K97" s="9" t="n">
        <f aca="false">(H97-F97)/(I97-F97)</f>
        <v>0.90251572327044</v>
      </c>
      <c r="L97" s="9" t="n">
        <f aca="false">H97-I97</f>
        <v>-0.031</v>
      </c>
      <c r="M97" s="4" t="str">
        <f aca="false">IF(K97&gt;=1,"Target Met",IF(K97&gt;=0.75,"On Track",IF(K97&gt;=0.4,"At Risk","Off Track")))</f>
        <v>On Track</v>
      </c>
    </row>
    <row r="98" customFormat="false" ht="15" hidden="false" customHeight="false" outlineLevel="0" collapsed="false">
      <c r="A98" s="4" t="s">
        <v>89</v>
      </c>
      <c r="B98" s="4" t="s">
        <v>90</v>
      </c>
      <c r="C98" s="4" t="s">
        <v>263</v>
      </c>
      <c r="D98" s="4" t="s">
        <v>264</v>
      </c>
      <c r="E98" s="4" t="s">
        <v>265</v>
      </c>
      <c r="F98" s="9" t="n">
        <v>0.411</v>
      </c>
      <c r="G98" s="4" t="n">
        <v>2023</v>
      </c>
      <c r="H98" s="9" t="n">
        <f aca="false">'Asset-Level Data'!V8</f>
        <v>0.702</v>
      </c>
      <c r="I98" s="9" t="n">
        <f aca="false">$Q$7</f>
        <v>0.75</v>
      </c>
      <c r="J98" s="4" t="n">
        <v>2028</v>
      </c>
      <c r="K98" s="9" t="n">
        <f aca="false">(H98-F98)/(I98-F98)</f>
        <v>0.858407079646018</v>
      </c>
      <c r="L98" s="9" t="n">
        <f aca="false">H98-I98</f>
        <v>-0.048</v>
      </c>
      <c r="M98" s="4" t="str">
        <f aca="false">IF(K98&gt;=1,"Target Met",IF(K98&gt;=0.75,"On Track",IF(K98&gt;=0.4,"At Risk","Off Track")))</f>
        <v>On Track</v>
      </c>
    </row>
    <row r="99" customFormat="false" ht="15" hidden="false" customHeight="false" outlineLevel="0" collapsed="false">
      <c r="A99" s="4" t="s">
        <v>95</v>
      </c>
      <c r="B99" s="4" t="s">
        <v>96</v>
      </c>
      <c r="C99" s="4" t="s">
        <v>263</v>
      </c>
      <c r="D99" s="4" t="s">
        <v>264</v>
      </c>
      <c r="E99" s="4" t="s">
        <v>265</v>
      </c>
      <c r="F99" s="9" t="n">
        <v>0.316</v>
      </c>
      <c r="G99" s="4" t="n">
        <v>2023</v>
      </c>
      <c r="H99" s="9" t="n">
        <f aca="false">'Asset-Level Data'!V9</f>
        <v>0.557</v>
      </c>
      <c r="I99" s="9" t="n">
        <f aca="false">$Q$7</f>
        <v>0.75</v>
      </c>
      <c r="J99" s="4" t="n">
        <v>2028</v>
      </c>
      <c r="K99" s="9" t="n">
        <f aca="false">(H99-F99)/(I99-F99)</f>
        <v>0.555299539170507</v>
      </c>
      <c r="L99" s="9" t="n">
        <f aca="false">H99-I99</f>
        <v>-0.193</v>
      </c>
      <c r="M99" s="4" t="str">
        <f aca="false">IF(K99&gt;=1,"Target Met",IF(K99&gt;=0.75,"On Track",IF(K99&gt;=0.4,"At Risk","Off Track")))</f>
        <v>At Risk</v>
      </c>
    </row>
    <row r="100" customFormat="false" ht="15" hidden="false" customHeight="false" outlineLevel="0" collapsed="false">
      <c r="A100" s="4" t="s">
        <v>101</v>
      </c>
      <c r="B100" s="4" t="s">
        <v>102</v>
      </c>
      <c r="C100" s="4" t="s">
        <v>263</v>
      </c>
      <c r="D100" s="4" t="s">
        <v>264</v>
      </c>
      <c r="E100" s="4" t="s">
        <v>265</v>
      </c>
      <c r="F100" s="9" t="n">
        <v>0.352</v>
      </c>
      <c r="G100" s="4" t="n">
        <v>2023</v>
      </c>
      <c r="H100" s="9" t="n">
        <f aca="false">'Asset-Level Data'!V10</f>
        <v>0.451</v>
      </c>
      <c r="I100" s="9" t="n">
        <f aca="false">$Q$7</f>
        <v>0.75</v>
      </c>
      <c r="J100" s="4" t="n">
        <v>2028</v>
      </c>
      <c r="K100" s="9" t="n">
        <f aca="false">(H100-F100)/(I100-F100)</f>
        <v>0.248743718592965</v>
      </c>
      <c r="L100" s="9" t="n">
        <f aca="false">H100-I100</f>
        <v>-0.299</v>
      </c>
      <c r="M100" s="4" t="str">
        <f aca="false">IF(K100&gt;=1,"Target Met",IF(K100&gt;=0.75,"On Track",IF(K100&gt;=0.4,"At Risk","Off Track")))</f>
        <v>Off Track</v>
      </c>
    </row>
    <row r="101" customFormat="false" ht="15" hidden="false" customHeight="false" outlineLevel="0" collapsed="false">
      <c r="A101" s="4" t="s">
        <v>106</v>
      </c>
      <c r="B101" s="4" t="s">
        <v>107</v>
      </c>
      <c r="C101" s="4" t="s">
        <v>263</v>
      </c>
      <c r="D101" s="4" t="s">
        <v>264</v>
      </c>
      <c r="E101" s="4" t="s">
        <v>265</v>
      </c>
      <c r="F101" s="9" t="n">
        <v>0.31</v>
      </c>
      <c r="G101" s="4" t="n">
        <v>2023</v>
      </c>
      <c r="H101" s="9" t="n">
        <f aca="false">'Asset-Level Data'!V11</f>
        <v>0.526</v>
      </c>
      <c r="I101" s="9" t="n">
        <f aca="false">$Q$7</f>
        <v>0.75</v>
      </c>
      <c r="J101" s="4" t="n">
        <v>2028</v>
      </c>
      <c r="K101" s="9" t="n">
        <f aca="false">(H101-F101)/(I101-F101)</f>
        <v>0.490909090909091</v>
      </c>
      <c r="L101" s="9" t="n">
        <f aca="false">H101-I101</f>
        <v>-0.224</v>
      </c>
      <c r="M101" s="4" t="str">
        <f aca="false">IF(K101&gt;=1,"Target Met",IF(K101&gt;=0.75,"On Track",IF(K101&gt;=0.4,"At Risk","Off Track")))</f>
        <v>At Risk</v>
      </c>
    </row>
    <row r="102" customFormat="false" ht="15" hidden="false" customHeight="false" outlineLevel="0" collapsed="false">
      <c r="A102" s="4" t="s">
        <v>112</v>
      </c>
      <c r="B102" s="4" t="s">
        <v>113</v>
      </c>
      <c r="C102" s="4" t="s">
        <v>263</v>
      </c>
      <c r="D102" s="4" t="s">
        <v>264</v>
      </c>
      <c r="E102" s="4" t="s">
        <v>265</v>
      </c>
      <c r="F102" s="9" t="n">
        <v>0.174</v>
      </c>
      <c r="G102" s="4" t="n">
        <v>2023</v>
      </c>
      <c r="H102" s="9" t="n">
        <f aca="false">'Asset-Level Data'!V12</f>
        <v>0.279</v>
      </c>
      <c r="I102" s="9" t="n">
        <f aca="false">$Q$7</f>
        <v>0.75</v>
      </c>
      <c r="J102" s="4" t="n">
        <v>2028</v>
      </c>
      <c r="K102" s="9" t="n">
        <f aca="false">(H102-F102)/(I102-F102)</f>
        <v>0.182291666666667</v>
      </c>
      <c r="L102" s="9" t="n">
        <f aca="false">H102-I102</f>
        <v>-0.471</v>
      </c>
      <c r="M102" s="4" t="str">
        <f aca="false">IF(K102&gt;=1,"Target Met",IF(K102&gt;=0.75,"On Track",IF(K102&gt;=0.4,"At Risk","Off Track")))</f>
        <v>Off Track</v>
      </c>
    </row>
    <row r="103" customFormat="false" ht="15" hidden="false" customHeight="false" outlineLevel="0" collapsed="false">
      <c r="A103" s="4" t="s">
        <v>119</v>
      </c>
      <c r="B103" s="4" t="s">
        <v>120</v>
      </c>
      <c r="C103" s="4" t="s">
        <v>263</v>
      </c>
      <c r="D103" s="4" t="s">
        <v>264</v>
      </c>
      <c r="E103" s="4" t="s">
        <v>265</v>
      </c>
      <c r="F103" s="9" t="n">
        <v>0.5</v>
      </c>
      <c r="G103" s="4" t="n">
        <v>2023</v>
      </c>
      <c r="H103" s="9" t="n">
        <f aca="false">'Asset-Level Data'!V13</f>
        <v>0.75</v>
      </c>
      <c r="I103" s="9" t="n">
        <f aca="false">$Q$7</f>
        <v>0.75</v>
      </c>
      <c r="J103" s="4" t="n">
        <v>2028</v>
      </c>
      <c r="K103" s="9" t="n">
        <f aca="false">(H103-F103)/(I103-F103)</f>
        <v>1</v>
      </c>
      <c r="L103" s="9" t="n">
        <f aca="false">H103-I103</f>
        <v>0</v>
      </c>
      <c r="M103" s="4" t="str">
        <f aca="false">IF(K103&gt;=1,"Target Met",IF(K103&gt;=0.75,"On Track",IF(K103&gt;=0.4,"At Risk","Off Track")))</f>
        <v>Target Met</v>
      </c>
    </row>
    <row r="104" customFormat="false" ht="15" hidden="false" customHeight="false" outlineLevel="0" collapsed="false">
      <c r="A104" s="4" t="s">
        <v>125</v>
      </c>
      <c r="B104" s="4" t="s">
        <v>126</v>
      </c>
      <c r="C104" s="4" t="s">
        <v>263</v>
      </c>
      <c r="D104" s="4" t="s">
        <v>264</v>
      </c>
      <c r="E104" s="4" t="s">
        <v>265</v>
      </c>
      <c r="F104" s="9" t="n">
        <v>0.438</v>
      </c>
      <c r="G104" s="4" t="n">
        <v>2023</v>
      </c>
      <c r="H104" s="9" t="n">
        <f aca="false">'Asset-Level Data'!V14</f>
        <v>0.54</v>
      </c>
      <c r="I104" s="9" t="n">
        <f aca="false">$Q$7</f>
        <v>0.75</v>
      </c>
      <c r="J104" s="4" t="n">
        <v>2028</v>
      </c>
      <c r="K104" s="9" t="n">
        <f aca="false">(H104-F104)/(I104-F104)</f>
        <v>0.326923076923077</v>
      </c>
      <c r="L104" s="9" t="n">
        <f aca="false">H104-I104</f>
        <v>-0.21</v>
      </c>
      <c r="M104" s="4" t="str">
        <f aca="false">IF(K104&gt;=1,"Target Met",IF(K104&gt;=0.75,"On Track",IF(K104&gt;=0.4,"At Risk","Off Track")))</f>
        <v>Off Track</v>
      </c>
    </row>
    <row r="105" customFormat="false" ht="15" hidden="false" customHeight="false" outlineLevel="0" collapsed="false">
      <c r="A105" s="4" t="s">
        <v>131</v>
      </c>
      <c r="B105" s="4" t="s">
        <v>132</v>
      </c>
      <c r="C105" s="4" t="s">
        <v>263</v>
      </c>
      <c r="D105" s="4" t="s">
        <v>264</v>
      </c>
      <c r="E105" s="4" t="s">
        <v>265</v>
      </c>
      <c r="F105" s="9" t="n">
        <v>0.448</v>
      </c>
      <c r="G105" s="4" t="n">
        <v>2023</v>
      </c>
      <c r="H105" s="9" t="n">
        <f aca="false">'Asset-Level Data'!V15</f>
        <v>0.781</v>
      </c>
      <c r="I105" s="9" t="n">
        <f aca="false">$Q$7</f>
        <v>0.75</v>
      </c>
      <c r="J105" s="4" t="n">
        <v>2028</v>
      </c>
      <c r="K105" s="9" t="n">
        <f aca="false">(H105-F105)/(I105-F105)</f>
        <v>1.10264900662252</v>
      </c>
      <c r="L105" s="9" t="n">
        <f aca="false">H105-I105</f>
        <v>0.031</v>
      </c>
      <c r="M105" s="4" t="str">
        <f aca="false">IF(K105&gt;=1,"Target Met",IF(K105&gt;=0.75,"On Track",IF(K105&gt;=0.4,"At Risk","Off Track")))</f>
        <v>Target Met</v>
      </c>
    </row>
    <row r="106" customFormat="false" ht="15" hidden="false" customHeight="false" outlineLevel="0" collapsed="false">
      <c r="A106" s="4" t="s">
        <v>136</v>
      </c>
      <c r="B106" s="4" t="s">
        <v>137</v>
      </c>
      <c r="C106" s="4" t="s">
        <v>263</v>
      </c>
      <c r="D106" s="4" t="s">
        <v>264</v>
      </c>
      <c r="E106" s="4" t="s">
        <v>265</v>
      </c>
      <c r="F106" s="9" t="n">
        <v>0.181</v>
      </c>
      <c r="G106" s="4" t="n">
        <v>2023</v>
      </c>
      <c r="H106" s="9" t="n">
        <f aca="false">'Asset-Level Data'!V16</f>
        <v>0.264</v>
      </c>
      <c r="I106" s="9" t="n">
        <f aca="false">$Q$7</f>
        <v>0.75</v>
      </c>
      <c r="J106" s="4" t="n">
        <v>2028</v>
      </c>
      <c r="K106" s="9" t="n">
        <f aca="false">(H106-F106)/(I106-F106)</f>
        <v>0.145869947275923</v>
      </c>
      <c r="L106" s="9" t="n">
        <f aca="false">H106-I106</f>
        <v>-0.486</v>
      </c>
      <c r="M106" s="4" t="str">
        <f aca="false">IF(K106&gt;=1,"Target Met",IF(K106&gt;=0.75,"On Track",IF(K106&gt;=0.4,"At Risk","Off Track")))</f>
        <v>Off Track</v>
      </c>
    </row>
    <row r="107" customFormat="false" ht="15" hidden="false" customHeight="false" outlineLevel="0" collapsed="false">
      <c r="A107" s="4" t="s">
        <v>142</v>
      </c>
      <c r="B107" s="4" t="s">
        <v>143</v>
      </c>
      <c r="C107" s="4" t="s">
        <v>263</v>
      </c>
      <c r="D107" s="4" t="s">
        <v>264</v>
      </c>
      <c r="E107" s="4" t="s">
        <v>265</v>
      </c>
      <c r="F107" s="9" t="n">
        <v>0.441</v>
      </c>
      <c r="G107" s="4" t="n">
        <v>2023</v>
      </c>
      <c r="H107" s="9" t="n">
        <f aca="false">'Asset-Level Data'!V17</f>
        <v>0.617</v>
      </c>
      <c r="I107" s="9" t="n">
        <f aca="false">$Q$7</f>
        <v>0.75</v>
      </c>
      <c r="J107" s="4" t="n">
        <v>2028</v>
      </c>
      <c r="K107" s="9" t="n">
        <f aca="false">(H107-F107)/(I107-F107)</f>
        <v>0.56957928802589</v>
      </c>
      <c r="L107" s="9" t="n">
        <f aca="false">H107-I107</f>
        <v>-0.133</v>
      </c>
      <c r="M107" s="4" t="str">
        <f aca="false">IF(K107&gt;=1,"Target Met",IF(K107&gt;=0.75,"On Track",IF(K107&gt;=0.4,"At Risk","Off Track")))</f>
        <v>At Risk</v>
      </c>
    </row>
    <row r="108" customFormat="false" ht="15" hidden="false" customHeight="false" outlineLevel="0" collapsed="false">
      <c r="A108" s="4" t="s">
        <v>148</v>
      </c>
      <c r="B108" s="4" t="s">
        <v>149</v>
      </c>
      <c r="C108" s="4" t="s">
        <v>263</v>
      </c>
      <c r="D108" s="4" t="s">
        <v>264</v>
      </c>
      <c r="E108" s="4" t="s">
        <v>265</v>
      </c>
      <c r="F108" s="9" t="n">
        <v>0.203</v>
      </c>
      <c r="G108" s="4" t="n">
        <v>2023</v>
      </c>
      <c r="H108" s="9" t="n">
        <f aca="false">'Asset-Level Data'!V18</f>
        <v>0.249</v>
      </c>
      <c r="I108" s="9" t="n">
        <f aca="false">$Q$7</f>
        <v>0.75</v>
      </c>
      <c r="J108" s="4" t="n">
        <v>2028</v>
      </c>
      <c r="K108" s="9" t="n">
        <f aca="false">(H108-F108)/(I108-F108)</f>
        <v>0.0840950639853748</v>
      </c>
      <c r="L108" s="9" t="n">
        <f aca="false">H108-I108</f>
        <v>-0.501</v>
      </c>
      <c r="M108" s="4" t="str">
        <f aca="false">IF(K108&gt;=1,"Target Met",IF(K108&gt;=0.75,"On Track",IF(K108&gt;=0.4,"At Risk","Off Track")))</f>
        <v>Off Track</v>
      </c>
    </row>
    <row r="109" customFormat="false" ht="15" hidden="false" customHeight="false" outlineLevel="0" collapsed="false">
      <c r="A109" s="4" t="s">
        <v>155</v>
      </c>
      <c r="B109" s="4" t="s">
        <v>156</v>
      </c>
      <c r="C109" s="4" t="s">
        <v>263</v>
      </c>
      <c r="D109" s="4" t="s">
        <v>264</v>
      </c>
      <c r="E109" s="4" t="s">
        <v>265</v>
      </c>
      <c r="F109" s="9" t="n">
        <v>0.276</v>
      </c>
      <c r="G109" s="4" t="n">
        <v>2023</v>
      </c>
      <c r="H109" s="9" t="n">
        <f aca="false">'Asset-Level Data'!V19</f>
        <v>0.347</v>
      </c>
      <c r="I109" s="9" t="n">
        <f aca="false">$Q$7</f>
        <v>0.75</v>
      </c>
      <c r="J109" s="4" t="n">
        <v>2028</v>
      </c>
      <c r="K109" s="9" t="n">
        <f aca="false">(H109-F109)/(I109-F109)</f>
        <v>0.149789029535865</v>
      </c>
      <c r="L109" s="9" t="n">
        <f aca="false">H109-I109</f>
        <v>-0.403</v>
      </c>
      <c r="M109" s="4" t="str">
        <f aca="false">IF(K109&gt;=1,"Target Met",IF(K109&gt;=0.75,"On Track",IF(K109&gt;=0.4,"At Risk","Off Track")))</f>
        <v>Off Track</v>
      </c>
    </row>
    <row r="110" customFormat="false" ht="15" hidden="false" customHeight="false" outlineLevel="0" collapsed="false">
      <c r="A110" s="4" t="s">
        <v>161</v>
      </c>
      <c r="B110" s="4" t="s">
        <v>162</v>
      </c>
      <c r="C110" s="4" t="s">
        <v>263</v>
      </c>
      <c r="D110" s="4" t="s">
        <v>264</v>
      </c>
      <c r="E110" s="4" t="s">
        <v>265</v>
      </c>
      <c r="F110" s="9" t="n">
        <v>0.528</v>
      </c>
      <c r="G110" s="4" t="n">
        <v>2023</v>
      </c>
      <c r="H110" s="9" t="n">
        <f aca="false">'Asset-Level Data'!V20</f>
        <v>0.652</v>
      </c>
      <c r="I110" s="9" t="n">
        <f aca="false">$Q$7</f>
        <v>0.75</v>
      </c>
      <c r="J110" s="4" t="n">
        <v>2028</v>
      </c>
      <c r="K110" s="9" t="n">
        <f aca="false">(H110-F110)/(I110-F110)</f>
        <v>0.558558558558559</v>
      </c>
      <c r="L110" s="9" t="n">
        <f aca="false">H110-I110</f>
        <v>-0.098</v>
      </c>
      <c r="M110" s="4" t="str">
        <f aca="false">IF(K110&gt;=1,"Target Met",IF(K110&gt;=0.75,"On Track",IF(K110&gt;=0.4,"At Risk","Off Track")))</f>
        <v>At Risk</v>
      </c>
    </row>
    <row r="111" customFormat="false" ht="15" hidden="false" customHeight="false" outlineLevel="0" collapsed="false">
      <c r="A111" s="4" t="s">
        <v>167</v>
      </c>
      <c r="B111" s="4" t="s">
        <v>168</v>
      </c>
      <c r="C111" s="4" t="s">
        <v>263</v>
      </c>
      <c r="D111" s="4" t="s">
        <v>264</v>
      </c>
      <c r="E111" s="4" t="s">
        <v>265</v>
      </c>
      <c r="F111" s="9" t="n">
        <v>0.364</v>
      </c>
      <c r="G111" s="4" t="n">
        <v>2023</v>
      </c>
      <c r="H111" s="9" t="n">
        <f aca="false">'Asset-Level Data'!V21</f>
        <v>0.574</v>
      </c>
      <c r="I111" s="9" t="n">
        <f aca="false">$Q$7</f>
        <v>0.75</v>
      </c>
      <c r="J111" s="4" t="n">
        <v>2028</v>
      </c>
      <c r="K111" s="9" t="n">
        <f aca="false">(H111-F111)/(I111-F111)</f>
        <v>0.544041450777202</v>
      </c>
      <c r="L111" s="9" t="n">
        <f aca="false">H111-I111</f>
        <v>-0.176</v>
      </c>
      <c r="M111" s="4" t="str">
        <f aca="false">IF(K111&gt;=1,"Target Met",IF(K111&gt;=0.75,"On Track",IF(K111&gt;=0.4,"At Risk","Off Track")))</f>
        <v>At Risk</v>
      </c>
    </row>
    <row r="112" customFormat="false" ht="15" hidden="false" customHeight="false" outlineLevel="0" collapsed="false">
      <c r="A112" s="4" t="s">
        <v>174</v>
      </c>
      <c r="B112" s="4" t="s">
        <v>175</v>
      </c>
      <c r="C112" s="4" t="s">
        <v>263</v>
      </c>
      <c r="D112" s="4" t="s">
        <v>264</v>
      </c>
      <c r="E112" s="4" t="s">
        <v>265</v>
      </c>
      <c r="F112" s="9" t="n">
        <v>0.389</v>
      </c>
      <c r="G112" s="4" t="n">
        <v>2023</v>
      </c>
      <c r="H112" s="9" t="n">
        <f aca="false">'Asset-Level Data'!V22</f>
        <v>0.576</v>
      </c>
      <c r="I112" s="9" t="n">
        <f aca="false">$Q$7</f>
        <v>0.75</v>
      </c>
      <c r="J112" s="4" t="n">
        <v>2028</v>
      </c>
      <c r="K112" s="9" t="n">
        <f aca="false">(H112-F112)/(I112-F112)</f>
        <v>0.518005540166205</v>
      </c>
      <c r="L112" s="9" t="n">
        <f aca="false">H112-I112</f>
        <v>-0.174</v>
      </c>
      <c r="M112" s="4" t="str">
        <f aca="false">IF(K112&gt;=1,"Target Met",IF(K112&gt;=0.75,"On Track",IF(K112&gt;=0.4,"At Risk","Off Track")))</f>
        <v>At Risk</v>
      </c>
    </row>
    <row r="113" customFormat="false" ht="15" hidden="false" customHeight="false" outlineLevel="0" collapsed="false">
      <c r="A113" s="4" t="s">
        <v>179</v>
      </c>
      <c r="B113" s="4" t="s">
        <v>180</v>
      </c>
      <c r="C113" s="4" t="s">
        <v>263</v>
      </c>
      <c r="D113" s="4" t="s">
        <v>264</v>
      </c>
      <c r="E113" s="4" t="s">
        <v>265</v>
      </c>
      <c r="F113" s="9" t="n">
        <v>0.121</v>
      </c>
      <c r="G113" s="4" t="n">
        <v>2023</v>
      </c>
      <c r="H113" s="9" t="n">
        <f aca="false">'Asset-Level Data'!V23</f>
        <v>0.184</v>
      </c>
      <c r="I113" s="9" t="n">
        <f aca="false">$Q$7</f>
        <v>0.75</v>
      </c>
      <c r="J113" s="4" t="n">
        <v>2028</v>
      </c>
      <c r="K113" s="9" t="n">
        <f aca="false">(H113-F113)/(I113-F113)</f>
        <v>0.100158982511924</v>
      </c>
      <c r="L113" s="9" t="n">
        <f aca="false">H113-I113</f>
        <v>-0.566</v>
      </c>
      <c r="M113" s="4" t="str">
        <f aca="false">IF(K113&gt;=1,"Target Met",IF(K113&gt;=0.75,"On Track",IF(K113&gt;=0.4,"At Risk","Off Track")))</f>
        <v>Off Track</v>
      </c>
    </row>
    <row r="114" customFormat="false" ht="15" hidden="false" customHeight="false" outlineLevel="0" collapsed="false">
      <c r="A114" s="4" t="s">
        <v>185</v>
      </c>
      <c r="B114" s="4" t="s">
        <v>186</v>
      </c>
      <c r="C114" s="4" t="s">
        <v>263</v>
      </c>
      <c r="D114" s="4" t="s">
        <v>264</v>
      </c>
      <c r="E114" s="4" t="s">
        <v>265</v>
      </c>
      <c r="F114" s="9" t="n">
        <v>0.369</v>
      </c>
      <c r="G114" s="4" t="n">
        <v>2023</v>
      </c>
      <c r="H114" s="9" t="n">
        <f aca="false">'Asset-Level Data'!V24</f>
        <v>0.453</v>
      </c>
      <c r="I114" s="9" t="n">
        <f aca="false">$Q$7</f>
        <v>0.75</v>
      </c>
      <c r="J114" s="4" t="n">
        <v>2028</v>
      </c>
      <c r="K114" s="9" t="n">
        <f aca="false">(H114-F114)/(I114-F114)</f>
        <v>0.220472440944882</v>
      </c>
      <c r="L114" s="9" t="n">
        <f aca="false">H114-I114</f>
        <v>-0.297</v>
      </c>
      <c r="M114" s="4" t="str">
        <f aca="false">IF(K114&gt;=1,"Target Met",IF(K114&gt;=0.75,"On Track",IF(K114&gt;=0.4,"At Risk","Off Track")))</f>
        <v>Off Track</v>
      </c>
    </row>
    <row r="115" customFormat="false" ht="15" hidden="false" customHeight="false" outlineLevel="0" collapsed="false">
      <c r="A115" s="4" t="s">
        <v>191</v>
      </c>
      <c r="B115" s="4" t="s">
        <v>192</v>
      </c>
      <c r="C115" s="4" t="s">
        <v>263</v>
      </c>
      <c r="D115" s="4" t="s">
        <v>264</v>
      </c>
      <c r="E115" s="4" t="s">
        <v>265</v>
      </c>
      <c r="F115" s="9" t="n">
        <v>0.529</v>
      </c>
      <c r="G115" s="4" t="n">
        <v>2023</v>
      </c>
      <c r="H115" s="9" t="n">
        <f aca="false">'Asset-Level Data'!V25</f>
        <v>0.632</v>
      </c>
      <c r="I115" s="9" t="n">
        <f aca="false">$Q$7</f>
        <v>0.75</v>
      </c>
      <c r="J115" s="4" t="n">
        <v>2028</v>
      </c>
      <c r="K115" s="9" t="n">
        <f aca="false">(H115-F115)/(I115-F115)</f>
        <v>0.46606334841629</v>
      </c>
      <c r="L115" s="9" t="n">
        <f aca="false">H115-I115</f>
        <v>-0.118</v>
      </c>
      <c r="M115" s="4" t="str">
        <f aca="false">IF(K115&gt;=1,"Target Met",IF(K115&gt;=0.75,"On Track",IF(K115&gt;=0.4,"At Risk","Off Track")))</f>
        <v>At Risk</v>
      </c>
    </row>
    <row r="116" customFormat="false" ht="15" hidden="false" customHeight="false" outlineLevel="0" collapsed="false">
      <c r="A116" s="4" t="s">
        <v>197</v>
      </c>
      <c r="B116" s="4" t="s">
        <v>198</v>
      </c>
      <c r="C116" s="4" t="s">
        <v>263</v>
      </c>
      <c r="D116" s="4" t="s">
        <v>264</v>
      </c>
      <c r="E116" s="4" t="s">
        <v>265</v>
      </c>
      <c r="F116" s="9" t="n">
        <v>0.447</v>
      </c>
      <c r="G116" s="4" t="n">
        <v>2023</v>
      </c>
      <c r="H116" s="9" t="n">
        <f aca="false">'Asset-Level Data'!V26</f>
        <v>0.751</v>
      </c>
      <c r="I116" s="9" t="n">
        <f aca="false">$Q$7</f>
        <v>0.75</v>
      </c>
      <c r="J116" s="4" t="n">
        <v>2028</v>
      </c>
      <c r="K116" s="9" t="n">
        <f aca="false">(H116-F116)/(I116-F116)</f>
        <v>1.003300330033</v>
      </c>
      <c r="L116" s="9" t="n">
        <f aca="false">H116-I116</f>
        <v>0.001</v>
      </c>
      <c r="M116" s="4" t="str">
        <f aca="false">IF(K116&gt;=1,"Target Met",IF(K116&gt;=0.75,"On Track",IF(K116&gt;=0.4,"At Risk","Off Track")))</f>
        <v>Target Met</v>
      </c>
    </row>
    <row r="117" customFormat="false" ht="15" hidden="false" customHeight="false" outlineLevel="0" collapsed="false">
      <c r="A117" s="4" t="s">
        <v>203</v>
      </c>
      <c r="B117" s="4" t="s">
        <v>204</v>
      </c>
      <c r="C117" s="4" t="s">
        <v>263</v>
      </c>
      <c r="D117" s="4" t="s">
        <v>264</v>
      </c>
      <c r="E117" s="4" t="s">
        <v>265</v>
      </c>
      <c r="F117" s="9" t="n">
        <v>0.36</v>
      </c>
      <c r="G117" s="4" t="n">
        <v>2023</v>
      </c>
      <c r="H117" s="9" t="n">
        <f aca="false">'Asset-Level Data'!V27</f>
        <v>0.444</v>
      </c>
      <c r="I117" s="9" t="n">
        <f aca="false">$Q$7</f>
        <v>0.75</v>
      </c>
      <c r="J117" s="4" t="n">
        <v>2028</v>
      </c>
      <c r="K117" s="9" t="n">
        <f aca="false">(H117-F117)/(I117-F117)</f>
        <v>0.215384615384615</v>
      </c>
      <c r="L117" s="9" t="n">
        <f aca="false">H117-I117</f>
        <v>-0.306</v>
      </c>
      <c r="M117" s="4" t="str">
        <f aca="false">IF(K117&gt;=1,"Target Met",IF(K117&gt;=0.75,"On Track",IF(K117&gt;=0.4,"At Risk","Off Track")))</f>
        <v>Off Track</v>
      </c>
    </row>
    <row r="118" customFormat="false" ht="15" hidden="false" customHeight="false" outlineLevel="0" collapsed="false">
      <c r="A118" s="4" t="s">
        <v>210</v>
      </c>
      <c r="B118" s="4" t="s">
        <v>211</v>
      </c>
      <c r="C118" s="4" t="s">
        <v>263</v>
      </c>
      <c r="D118" s="4" t="s">
        <v>264</v>
      </c>
      <c r="E118" s="4" t="s">
        <v>265</v>
      </c>
      <c r="F118" s="9" t="n">
        <v>0.324</v>
      </c>
      <c r="G118" s="4" t="n">
        <v>2023</v>
      </c>
      <c r="H118" s="9" t="n">
        <f aca="false">'Asset-Level Data'!V28</f>
        <v>0.5</v>
      </c>
      <c r="I118" s="9" t="n">
        <f aca="false">$Q$7</f>
        <v>0.75</v>
      </c>
      <c r="J118" s="4" t="n">
        <v>2028</v>
      </c>
      <c r="K118" s="9" t="n">
        <f aca="false">(H118-F118)/(I118-F118)</f>
        <v>0.413145539906103</v>
      </c>
      <c r="L118" s="9" t="n">
        <f aca="false">H118-I118</f>
        <v>-0.25</v>
      </c>
      <c r="M118" s="4" t="str">
        <f aca="false">IF(K118&gt;=1,"Target Met",IF(K118&gt;=0.75,"On Track",IF(K118&gt;=0.4,"At Risk","Off Track")))</f>
        <v>At Risk</v>
      </c>
    </row>
    <row r="119" customFormat="false" ht="15" hidden="false" customHeight="false" outlineLevel="0" collapsed="false">
      <c r="A119" s="4" t="s">
        <v>216</v>
      </c>
      <c r="B119" s="4" t="s">
        <v>217</v>
      </c>
      <c r="C119" s="4" t="s">
        <v>263</v>
      </c>
      <c r="D119" s="4" t="s">
        <v>264</v>
      </c>
      <c r="E119" s="4" t="s">
        <v>265</v>
      </c>
      <c r="F119" s="9" t="n">
        <v>0.183</v>
      </c>
      <c r="G119" s="4" t="n">
        <v>2023</v>
      </c>
      <c r="H119" s="9" t="n">
        <f aca="false">'Asset-Level Data'!V29</f>
        <v>0.311</v>
      </c>
      <c r="I119" s="9" t="n">
        <f aca="false">$Q$7</f>
        <v>0.75</v>
      </c>
      <c r="J119" s="4" t="n">
        <v>2028</v>
      </c>
      <c r="K119" s="9" t="n">
        <f aca="false">(H119-F119)/(I119-F119)</f>
        <v>0.225749559082892</v>
      </c>
      <c r="L119" s="9" t="n">
        <f aca="false">H119-I119</f>
        <v>-0.439</v>
      </c>
      <c r="M119" s="4" t="str">
        <f aca="false">IF(K119&gt;=1,"Target Met",IF(K119&gt;=0.75,"On Track",IF(K119&gt;=0.4,"At Risk","Off Track")))</f>
        <v>Off Track</v>
      </c>
    </row>
    <row r="120" customFormat="false" ht="15" hidden="false" customHeight="false" outlineLevel="0" collapsed="false">
      <c r="A120" s="4" t="s">
        <v>222</v>
      </c>
      <c r="B120" s="4" t="s">
        <v>223</v>
      </c>
      <c r="C120" s="4" t="s">
        <v>263</v>
      </c>
      <c r="D120" s="4" t="s">
        <v>264</v>
      </c>
      <c r="E120" s="4" t="s">
        <v>265</v>
      </c>
      <c r="F120" s="9" t="n">
        <v>0.32</v>
      </c>
      <c r="G120" s="4" t="n">
        <v>2023</v>
      </c>
      <c r="H120" s="9" t="n">
        <f aca="false">'Asset-Level Data'!V30</f>
        <v>0.464</v>
      </c>
      <c r="I120" s="9" t="n">
        <f aca="false">$Q$7</f>
        <v>0.75</v>
      </c>
      <c r="J120" s="4" t="n">
        <v>2028</v>
      </c>
      <c r="K120" s="9" t="n">
        <f aca="false">(H120-F120)/(I120-F120)</f>
        <v>0.334883720930233</v>
      </c>
      <c r="L120" s="9" t="n">
        <f aca="false">H120-I120</f>
        <v>-0.286</v>
      </c>
      <c r="M120" s="4" t="str">
        <f aca="false">IF(K120&gt;=1,"Target Met",IF(K120&gt;=0.75,"On Track",IF(K120&gt;=0.4,"At Risk","Off Track")))</f>
        <v>Off Track</v>
      </c>
    </row>
    <row r="121" customFormat="false" ht="15" hidden="false" customHeight="false" outlineLevel="0" collapsed="false">
      <c r="A121" s="4" t="s">
        <v>228</v>
      </c>
      <c r="B121" s="4" t="s">
        <v>229</v>
      </c>
      <c r="C121" s="4" t="s">
        <v>263</v>
      </c>
      <c r="D121" s="4" t="s">
        <v>264</v>
      </c>
      <c r="E121" s="4" t="s">
        <v>265</v>
      </c>
      <c r="F121" s="9" t="n">
        <v>0.212</v>
      </c>
      <c r="G121" s="4" t="n">
        <v>2023</v>
      </c>
      <c r="H121" s="9" t="n">
        <f aca="false">'Asset-Level Data'!V31</f>
        <v>0.277</v>
      </c>
      <c r="I121" s="9" t="n">
        <f aca="false">$Q$7</f>
        <v>0.75</v>
      </c>
      <c r="J121" s="4" t="n">
        <v>2028</v>
      </c>
      <c r="K121" s="9" t="n">
        <f aca="false">(H121-F121)/(I121-F121)</f>
        <v>0.120817843866171</v>
      </c>
      <c r="L121" s="9" t="n">
        <f aca="false">H121-I121</f>
        <v>-0.473</v>
      </c>
      <c r="M121" s="4" t="str">
        <f aca="false">IF(K121&gt;=1,"Target Met",IF(K121&gt;=0.75,"On Track",IF(K121&gt;=0.4,"At Risk","Off Track")))</f>
        <v>Off Track</v>
      </c>
    </row>
    <row r="122" customFormat="false" ht="15" hidden="false" customHeight="false" outlineLevel="0" collapsed="false">
      <c r="A122" s="4" t="s">
        <v>31</v>
      </c>
      <c r="B122" s="4" t="s">
        <v>32</v>
      </c>
      <c r="C122" s="4" t="s">
        <v>266</v>
      </c>
      <c r="D122" s="4" t="s">
        <v>267</v>
      </c>
      <c r="E122" s="4" t="s">
        <v>265</v>
      </c>
      <c r="F122" s="23" t="n">
        <v>53.7</v>
      </c>
      <c r="G122" s="4" t="n">
        <v>2023</v>
      </c>
      <c r="H122" s="23" t="n">
        <f aca="false">'Asset-Level Data'!AA2</f>
        <v>89</v>
      </c>
      <c r="I122" s="23" t="n">
        <f aca="false">$Q$8</f>
        <v>75</v>
      </c>
      <c r="J122" s="4" t="n">
        <v>2028</v>
      </c>
      <c r="K122" s="9" t="n">
        <f aca="false">(H122-F122)/(I122-F122)</f>
        <v>1.65727699530516</v>
      </c>
      <c r="L122" s="23" t="n">
        <f aca="false">H122-I122</f>
        <v>14</v>
      </c>
      <c r="M122" s="4" t="str">
        <f aca="false">IF(K122&gt;=1,"Target Met",IF(K122&gt;=0.75,"On Track",IF(K122&gt;=0.4,"At Risk","Off Track")))</f>
        <v>Target Met</v>
      </c>
    </row>
    <row r="123" customFormat="false" ht="15" hidden="false" customHeight="false" outlineLevel="0" collapsed="false">
      <c r="A123" s="4" t="s">
        <v>44</v>
      </c>
      <c r="B123" s="4" t="s">
        <v>45</v>
      </c>
      <c r="C123" s="4" t="s">
        <v>266</v>
      </c>
      <c r="D123" s="4" t="s">
        <v>267</v>
      </c>
      <c r="E123" s="4" t="s">
        <v>265</v>
      </c>
      <c r="F123" s="23" t="n">
        <v>26</v>
      </c>
      <c r="G123" s="4" t="n">
        <v>2023</v>
      </c>
      <c r="H123" s="23" t="n">
        <f aca="false">'Asset-Level Data'!AA3</f>
        <v>42</v>
      </c>
      <c r="I123" s="23" t="n">
        <f aca="false">$Q$8</f>
        <v>75</v>
      </c>
      <c r="J123" s="4" t="n">
        <v>2028</v>
      </c>
      <c r="K123" s="9" t="n">
        <f aca="false">(H123-F123)/(I123-F123)</f>
        <v>0.326530612244898</v>
      </c>
      <c r="L123" s="23" t="n">
        <f aca="false">H123-I123</f>
        <v>-33</v>
      </c>
      <c r="M123" s="4" t="str">
        <f aca="false">IF(K123&gt;=1,"Target Met",IF(K123&gt;=0.75,"On Track",IF(K123&gt;=0.4,"At Risk","Off Track")))</f>
        <v>Off Track</v>
      </c>
    </row>
    <row r="124" customFormat="false" ht="15" hidden="false" customHeight="false" outlineLevel="0" collapsed="false">
      <c r="A124" s="4" t="s">
        <v>54</v>
      </c>
      <c r="B124" s="4" t="s">
        <v>55</v>
      </c>
      <c r="C124" s="4" t="s">
        <v>266</v>
      </c>
      <c r="D124" s="4" t="s">
        <v>267</v>
      </c>
      <c r="E124" s="4" t="s">
        <v>265</v>
      </c>
      <c r="F124" s="23" t="n">
        <v>34.1</v>
      </c>
      <c r="G124" s="4" t="n">
        <v>2023</v>
      </c>
      <c r="H124" s="23" t="n">
        <f aca="false">'Asset-Level Data'!AA4</f>
        <v>55</v>
      </c>
      <c r="I124" s="23" t="n">
        <f aca="false">$Q$8</f>
        <v>75</v>
      </c>
      <c r="J124" s="4" t="n">
        <v>2028</v>
      </c>
      <c r="K124" s="9" t="n">
        <f aca="false">(H124-F124)/(I124-F124)</f>
        <v>0.511002444987775</v>
      </c>
      <c r="L124" s="23" t="n">
        <f aca="false">H124-I124</f>
        <v>-20</v>
      </c>
      <c r="M124" s="4" t="str">
        <f aca="false">IF(K124&gt;=1,"Target Met",IF(K124&gt;=0.75,"On Track",IF(K124&gt;=0.4,"At Risk","Off Track")))</f>
        <v>At Risk</v>
      </c>
    </row>
    <row r="125" customFormat="false" ht="15" hidden="false" customHeight="false" outlineLevel="0" collapsed="false">
      <c r="A125" s="4" t="s">
        <v>63</v>
      </c>
      <c r="B125" s="4" t="s">
        <v>64</v>
      </c>
      <c r="C125" s="4" t="s">
        <v>266</v>
      </c>
      <c r="D125" s="4" t="s">
        <v>267</v>
      </c>
      <c r="E125" s="4" t="s">
        <v>265</v>
      </c>
      <c r="F125" s="23" t="n">
        <v>37.6</v>
      </c>
      <c r="G125" s="4" t="n">
        <v>2023</v>
      </c>
      <c r="H125" s="23" t="n">
        <f aca="false">'Asset-Level Data'!AA5</f>
        <v>54</v>
      </c>
      <c r="I125" s="23" t="n">
        <f aca="false">$Q$8</f>
        <v>75</v>
      </c>
      <c r="J125" s="4" t="n">
        <v>2028</v>
      </c>
      <c r="K125" s="9" t="n">
        <f aca="false">(H125-F125)/(I125-F125)</f>
        <v>0.438502673796791</v>
      </c>
      <c r="L125" s="23" t="n">
        <f aca="false">H125-I125</f>
        <v>-21</v>
      </c>
      <c r="M125" s="4" t="str">
        <f aca="false">IF(K125&gt;=1,"Target Met",IF(K125&gt;=0.75,"On Track",IF(K125&gt;=0.4,"At Risk","Off Track")))</f>
        <v>At Risk</v>
      </c>
    </row>
    <row r="126" customFormat="false" ht="15" hidden="false" customHeight="false" outlineLevel="0" collapsed="false">
      <c r="A126" s="4" t="s">
        <v>72</v>
      </c>
      <c r="B126" s="4" t="s">
        <v>73</v>
      </c>
      <c r="C126" s="4" t="s">
        <v>266</v>
      </c>
      <c r="D126" s="4" t="s">
        <v>267</v>
      </c>
      <c r="E126" s="4" t="s">
        <v>265</v>
      </c>
      <c r="F126" s="23" t="n">
        <v>27.6</v>
      </c>
      <c r="G126" s="4" t="n">
        <v>2023</v>
      </c>
      <c r="H126" s="23" t="n">
        <f aca="false">'Asset-Level Data'!AA6</f>
        <v>38</v>
      </c>
      <c r="I126" s="23" t="n">
        <f aca="false">$Q$8</f>
        <v>75</v>
      </c>
      <c r="J126" s="4" t="n">
        <v>2028</v>
      </c>
      <c r="K126" s="9" t="n">
        <f aca="false">(H126-F126)/(I126-F126)</f>
        <v>0.219409282700422</v>
      </c>
      <c r="L126" s="23" t="n">
        <f aca="false">H126-I126</f>
        <v>-37</v>
      </c>
      <c r="M126" s="4" t="str">
        <f aca="false">IF(K126&gt;=1,"Target Met",IF(K126&gt;=0.75,"On Track",IF(K126&gt;=0.4,"At Risk","Off Track")))</f>
        <v>Off Track</v>
      </c>
    </row>
    <row r="127" customFormat="false" ht="15" hidden="false" customHeight="false" outlineLevel="0" collapsed="false">
      <c r="A127" s="4" t="s">
        <v>82</v>
      </c>
      <c r="B127" s="4" t="s">
        <v>83</v>
      </c>
      <c r="C127" s="4" t="s">
        <v>266</v>
      </c>
      <c r="D127" s="4" t="s">
        <v>267</v>
      </c>
      <c r="E127" s="4" t="s">
        <v>265</v>
      </c>
      <c r="F127" s="23" t="n">
        <v>45.3</v>
      </c>
      <c r="G127" s="4" t="n">
        <v>2023</v>
      </c>
      <c r="H127" s="23" t="n">
        <f aca="false">'Asset-Level Data'!AA7</f>
        <v>72</v>
      </c>
      <c r="I127" s="23" t="n">
        <f aca="false">$Q$8</f>
        <v>75</v>
      </c>
      <c r="J127" s="4" t="n">
        <v>2028</v>
      </c>
      <c r="K127" s="9" t="n">
        <f aca="false">(H127-F127)/(I127-F127)</f>
        <v>0.898989898989899</v>
      </c>
      <c r="L127" s="23" t="n">
        <f aca="false">H127-I127</f>
        <v>-3</v>
      </c>
      <c r="M127" s="4" t="str">
        <f aca="false">IF(K127&gt;=1,"Target Met",IF(K127&gt;=0.75,"On Track",IF(K127&gt;=0.4,"At Risk","Off Track")))</f>
        <v>On Track</v>
      </c>
    </row>
    <row r="128" customFormat="false" ht="15" hidden="false" customHeight="false" outlineLevel="0" collapsed="false">
      <c r="A128" s="4" t="s">
        <v>89</v>
      </c>
      <c r="B128" s="4" t="s">
        <v>90</v>
      </c>
      <c r="C128" s="4" t="s">
        <v>266</v>
      </c>
      <c r="D128" s="4" t="s">
        <v>267</v>
      </c>
      <c r="E128" s="4" t="s">
        <v>265</v>
      </c>
      <c r="F128" s="23" t="n">
        <v>40.2</v>
      </c>
      <c r="G128" s="4" t="n">
        <v>2023</v>
      </c>
      <c r="H128" s="23" t="n">
        <f aca="false">'Asset-Level Data'!AA8</f>
        <v>73</v>
      </c>
      <c r="I128" s="23" t="n">
        <f aca="false">$Q$8</f>
        <v>75</v>
      </c>
      <c r="J128" s="4" t="n">
        <v>2028</v>
      </c>
      <c r="K128" s="9" t="n">
        <f aca="false">(H128-F128)/(I128-F128)</f>
        <v>0.942528735632184</v>
      </c>
      <c r="L128" s="23" t="n">
        <f aca="false">H128-I128</f>
        <v>-2</v>
      </c>
      <c r="M128" s="4" t="str">
        <f aca="false">IF(K128&gt;=1,"Target Met",IF(K128&gt;=0.75,"On Track",IF(K128&gt;=0.4,"At Risk","Off Track")))</f>
        <v>On Track</v>
      </c>
    </row>
    <row r="129" customFormat="false" ht="15" hidden="false" customHeight="false" outlineLevel="0" collapsed="false">
      <c r="A129" s="4" t="s">
        <v>95</v>
      </c>
      <c r="B129" s="4" t="s">
        <v>96</v>
      </c>
      <c r="C129" s="4" t="s">
        <v>266</v>
      </c>
      <c r="D129" s="4" t="s">
        <v>267</v>
      </c>
      <c r="E129" s="4" t="s">
        <v>265</v>
      </c>
      <c r="F129" s="23" t="n">
        <v>35.1</v>
      </c>
      <c r="G129" s="4" t="n">
        <v>2023</v>
      </c>
      <c r="H129" s="23" t="n">
        <f aca="false">'Asset-Level Data'!AA9</f>
        <v>52</v>
      </c>
      <c r="I129" s="23" t="n">
        <f aca="false">$Q$8</f>
        <v>75</v>
      </c>
      <c r="J129" s="4" t="n">
        <v>2028</v>
      </c>
      <c r="K129" s="9" t="n">
        <f aca="false">(H129-F129)/(I129-F129)</f>
        <v>0.423558897243108</v>
      </c>
      <c r="L129" s="23" t="n">
        <f aca="false">H129-I129</f>
        <v>-23</v>
      </c>
      <c r="M129" s="4" t="str">
        <f aca="false">IF(K129&gt;=1,"Target Met",IF(K129&gt;=0.75,"On Track",IF(K129&gt;=0.4,"At Risk","Off Track")))</f>
        <v>At Risk</v>
      </c>
    </row>
    <row r="130" customFormat="false" ht="15" hidden="false" customHeight="false" outlineLevel="0" collapsed="false">
      <c r="A130" s="4" t="s">
        <v>101</v>
      </c>
      <c r="B130" s="4" t="s">
        <v>102</v>
      </c>
      <c r="C130" s="4" t="s">
        <v>266</v>
      </c>
      <c r="D130" s="4" t="s">
        <v>267</v>
      </c>
      <c r="E130" s="4" t="s">
        <v>265</v>
      </c>
      <c r="F130" s="23" t="n">
        <v>52.2</v>
      </c>
      <c r="G130" s="4" t="n">
        <v>2023</v>
      </c>
      <c r="H130" s="23" t="n">
        <f aca="false">'Asset-Level Data'!AA10</f>
        <v>79</v>
      </c>
      <c r="I130" s="23" t="n">
        <f aca="false">$Q$8</f>
        <v>75</v>
      </c>
      <c r="J130" s="4" t="n">
        <v>2028</v>
      </c>
      <c r="K130" s="9" t="n">
        <f aca="false">(H130-F130)/(I130-F130)</f>
        <v>1.17543859649123</v>
      </c>
      <c r="L130" s="23" t="n">
        <f aca="false">H130-I130</f>
        <v>4</v>
      </c>
      <c r="M130" s="4" t="str">
        <f aca="false">IF(K130&gt;=1,"Target Met",IF(K130&gt;=0.75,"On Track",IF(K130&gt;=0.4,"At Risk","Off Track")))</f>
        <v>Target Met</v>
      </c>
    </row>
    <row r="131" customFormat="false" ht="15" hidden="false" customHeight="false" outlineLevel="0" collapsed="false">
      <c r="A131" s="4" t="s">
        <v>106</v>
      </c>
      <c r="B131" s="4" t="s">
        <v>107</v>
      </c>
      <c r="C131" s="4" t="s">
        <v>266</v>
      </c>
      <c r="D131" s="4" t="s">
        <v>267</v>
      </c>
      <c r="E131" s="4" t="s">
        <v>265</v>
      </c>
      <c r="F131" s="23" t="n">
        <v>49.7</v>
      </c>
      <c r="G131" s="4" t="n">
        <v>2023</v>
      </c>
      <c r="H131" s="23" t="n">
        <f aca="false">'Asset-Level Data'!AA11</f>
        <v>69</v>
      </c>
      <c r="I131" s="23" t="n">
        <f aca="false">$Q$8</f>
        <v>75</v>
      </c>
      <c r="J131" s="4" t="n">
        <v>2028</v>
      </c>
      <c r="K131" s="9" t="n">
        <f aca="false">(H131-F131)/(I131-F131)</f>
        <v>0.762845849802372</v>
      </c>
      <c r="L131" s="23" t="n">
        <f aca="false">H131-I131</f>
        <v>-6</v>
      </c>
      <c r="M131" s="4" t="str">
        <f aca="false">IF(K131&gt;=1,"Target Met",IF(K131&gt;=0.75,"On Track",IF(K131&gt;=0.4,"At Risk","Off Track")))</f>
        <v>On Track</v>
      </c>
    </row>
    <row r="132" customFormat="false" ht="15" hidden="false" customHeight="false" outlineLevel="0" collapsed="false">
      <c r="A132" s="4" t="s">
        <v>112</v>
      </c>
      <c r="B132" s="4" t="s">
        <v>113</v>
      </c>
      <c r="C132" s="4" t="s">
        <v>266</v>
      </c>
      <c r="D132" s="4" t="s">
        <v>267</v>
      </c>
      <c r="E132" s="4" t="s">
        <v>265</v>
      </c>
      <c r="F132" s="23" t="n">
        <v>60.2</v>
      </c>
      <c r="G132" s="4" t="n">
        <v>2023</v>
      </c>
      <c r="H132" s="23" t="n">
        <f aca="false">'Asset-Level Data'!AA12</f>
        <v>72</v>
      </c>
      <c r="I132" s="23" t="n">
        <f aca="false">$Q$8</f>
        <v>75</v>
      </c>
      <c r="J132" s="4" t="n">
        <v>2028</v>
      </c>
      <c r="K132" s="9" t="n">
        <f aca="false">(H132-F132)/(I132-F132)</f>
        <v>0.797297297297297</v>
      </c>
      <c r="L132" s="23" t="n">
        <f aca="false">H132-I132</f>
        <v>-3</v>
      </c>
      <c r="M132" s="4" t="str">
        <f aca="false">IF(K132&gt;=1,"Target Met",IF(K132&gt;=0.75,"On Track",IF(K132&gt;=0.4,"At Risk","Off Track")))</f>
        <v>On Track</v>
      </c>
    </row>
    <row r="133" customFormat="false" ht="15" hidden="false" customHeight="false" outlineLevel="0" collapsed="false">
      <c r="A133" s="4" t="s">
        <v>119</v>
      </c>
      <c r="B133" s="4" t="s">
        <v>120</v>
      </c>
      <c r="C133" s="4" t="s">
        <v>266</v>
      </c>
      <c r="D133" s="4" t="s">
        <v>267</v>
      </c>
      <c r="E133" s="4" t="s">
        <v>265</v>
      </c>
      <c r="F133" s="23" t="n">
        <v>60.6</v>
      </c>
      <c r="G133" s="4" t="n">
        <v>2023</v>
      </c>
      <c r="H133" s="23" t="n">
        <f aca="false">'Asset-Level Data'!AA13</f>
        <v>80</v>
      </c>
      <c r="I133" s="23" t="n">
        <f aca="false">$Q$8</f>
        <v>75</v>
      </c>
      <c r="J133" s="4" t="n">
        <v>2028</v>
      </c>
      <c r="K133" s="9" t="n">
        <f aca="false">(H133-F133)/(I133-F133)</f>
        <v>1.34722222222222</v>
      </c>
      <c r="L133" s="23" t="n">
        <f aca="false">H133-I133</f>
        <v>5</v>
      </c>
      <c r="M133" s="4" t="str">
        <f aca="false">IF(K133&gt;=1,"Target Met",IF(K133&gt;=0.75,"On Track",IF(K133&gt;=0.4,"At Risk","Off Track")))</f>
        <v>Target Met</v>
      </c>
    </row>
    <row r="134" customFormat="false" ht="15" hidden="false" customHeight="false" outlineLevel="0" collapsed="false">
      <c r="A134" s="4" t="s">
        <v>125</v>
      </c>
      <c r="B134" s="4" t="s">
        <v>126</v>
      </c>
      <c r="C134" s="4" t="s">
        <v>266</v>
      </c>
      <c r="D134" s="4" t="s">
        <v>267</v>
      </c>
      <c r="E134" s="4" t="s">
        <v>265</v>
      </c>
      <c r="F134" s="23" t="n">
        <v>38.1</v>
      </c>
      <c r="G134" s="4" t="n">
        <v>2023</v>
      </c>
      <c r="H134" s="23" t="n">
        <f aca="false">'Asset-Level Data'!AA14</f>
        <v>54</v>
      </c>
      <c r="I134" s="23" t="n">
        <f aca="false">$Q$8</f>
        <v>75</v>
      </c>
      <c r="J134" s="4" t="n">
        <v>2028</v>
      </c>
      <c r="K134" s="9" t="n">
        <f aca="false">(H134-F134)/(I134-F134)</f>
        <v>0.430894308943089</v>
      </c>
      <c r="L134" s="23" t="n">
        <f aca="false">H134-I134</f>
        <v>-21</v>
      </c>
      <c r="M134" s="4" t="str">
        <f aca="false">IF(K134&gt;=1,"Target Met",IF(K134&gt;=0.75,"On Track",IF(K134&gt;=0.4,"At Risk","Off Track")))</f>
        <v>At Risk</v>
      </c>
    </row>
    <row r="135" customFormat="false" ht="15" hidden="false" customHeight="false" outlineLevel="0" collapsed="false">
      <c r="A135" s="4" t="s">
        <v>131</v>
      </c>
      <c r="B135" s="4" t="s">
        <v>132</v>
      </c>
      <c r="C135" s="4" t="s">
        <v>266</v>
      </c>
      <c r="D135" s="4" t="s">
        <v>267</v>
      </c>
      <c r="E135" s="4" t="s">
        <v>265</v>
      </c>
      <c r="F135" s="23" t="n">
        <v>62.5</v>
      </c>
      <c r="G135" s="4" t="n">
        <v>2023</v>
      </c>
      <c r="H135" s="23" t="n">
        <f aca="false">'Asset-Level Data'!AA15</f>
        <v>85</v>
      </c>
      <c r="I135" s="23" t="n">
        <f aca="false">$Q$8</f>
        <v>75</v>
      </c>
      <c r="J135" s="4" t="n">
        <v>2028</v>
      </c>
      <c r="K135" s="9" t="n">
        <f aca="false">(H135-F135)/(I135-F135)</f>
        <v>1.8</v>
      </c>
      <c r="L135" s="23" t="n">
        <f aca="false">H135-I135</f>
        <v>10</v>
      </c>
      <c r="M135" s="4" t="str">
        <f aca="false">IF(K135&gt;=1,"Target Met",IF(K135&gt;=0.75,"On Track",IF(K135&gt;=0.4,"At Risk","Off Track")))</f>
        <v>Target Met</v>
      </c>
    </row>
    <row r="136" customFormat="false" ht="15" hidden="false" customHeight="false" outlineLevel="0" collapsed="false">
      <c r="A136" s="4" t="s">
        <v>136</v>
      </c>
      <c r="B136" s="4" t="s">
        <v>137</v>
      </c>
      <c r="C136" s="4" t="s">
        <v>266</v>
      </c>
      <c r="D136" s="4" t="s">
        <v>267</v>
      </c>
      <c r="E136" s="4" t="s">
        <v>265</v>
      </c>
      <c r="F136" s="23" t="n">
        <v>62.5</v>
      </c>
      <c r="G136" s="4" t="n">
        <v>2023</v>
      </c>
      <c r="H136" s="23" t="n">
        <f aca="false">'Asset-Level Data'!AA16</f>
        <v>83</v>
      </c>
      <c r="I136" s="23" t="n">
        <f aca="false">$Q$8</f>
        <v>75</v>
      </c>
      <c r="J136" s="4" t="n">
        <v>2028</v>
      </c>
      <c r="K136" s="9" t="n">
        <f aca="false">(H136-F136)/(I136-F136)</f>
        <v>1.64</v>
      </c>
      <c r="L136" s="23" t="n">
        <f aca="false">H136-I136</f>
        <v>8</v>
      </c>
      <c r="M136" s="4" t="str">
        <f aca="false">IF(K136&gt;=1,"Target Met",IF(K136&gt;=0.75,"On Track",IF(K136&gt;=0.4,"At Risk","Off Track")))</f>
        <v>Target Met</v>
      </c>
    </row>
    <row r="137" customFormat="false" ht="15" hidden="false" customHeight="false" outlineLevel="0" collapsed="false">
      <c r="A137" s="4" t="s">
        <v>142</v>
      </c>
      <c r="B137" s="4" t="s">
        <v>143</v>
      </c>
      <c r="C137" s="4" t="s">
        <v>266</v>
      </c>
      <c r="D137" s="4" t="s">
        <v>267</v>
      </c>
      <c r="E137" s="4" t="s">
        <v>265</v>
      </c>
      <c r="F137" s="23" t="n">
        <v>36.2</v>
      </c>
      <c r="G137" s="4" t="n">
        <v>2023</v>
      </c>
      <c r="H137" s="23" t="n">
        <f aca="false">'Asset-Level Data'!AA17</f>
        <v>64</v>
      </c>
      <c r="I137" s="23" t="n">
        <f aca="false">$Q$8</f>
        <v>75</v>
      </c>
      <c r="J137" s="4" t="n">
        <v>2028</v>
      </c>
      <c r="K137" s="9" t="n">
        <f aca="false">(H137-F137)/(I137-F137)</f>
        <v>0.716494845360825</v>
      </c>
      <c r="L137" s="23" t="n">
        <f aca="false">H137-I137</f>
        <v>-11</v>
      </c>
      <c r="M137" s="4" t="str">
        <f aca="false">IF(K137&gt;=1,"Target Met",IF(K137&gt;=0.75,"On Track",IF(K137&gt;=0.4,"At Risk","Off Track")))</f>
        <v>At Risk</v>
      </c>
    </row>
    <row r="138" customFormat="false" ht="15" hidden="false" customHeight="false" outlineLevel="0" collapsed="false">
      <c r="A138" s="4" t="s">
        <v>148</v>
      </c>
      <c r="B138" s="4" t="s">
        <v>149</v>
      </c>
      <c r="C138" s="4" t="s">
        <v>266</v>
      </c>
      <c r="D138" s="4" t="s">
        <v>267</v>
      </c>
      <c r="E138" s="4" t="s">
        <v>265</v>
      </c>
      <c r="F138" s="23" t="n">
        <v>73.8</v>
      </c>
      <c r="G138" s="4" t="n">
        <v>2023</v>
      </c>
      <c r="H138" s="23" t="n">
        <f aca="false">'Asset-Level Data'!AA18</f>
        <v>90</v>
      </c>
      <c r="I138" s="23" t="n">
        <f aca="false">$Q$8</f>
        <v>75</v>
      </c>
      <c r="J138" s="4" t="n">
        <v>2028</v>
      </c>
      <c r="K138" s="9" t="n">
        <f aca="false">(H138-F138)/(I138-F138)</f>
        <v>13.5</v>
      </c>
      <c r="L138" s="23" t="n">
        <f aca="false">H138-I138</f>
        <v>15</v>
      </c>
      <c r="M138" s="4" t="str">
        <f aca="false">IF(K138&gt;=1,"Target Met",IF(K138&gt;=0.75,"On Track",IF(K138&gt;=0.4,"At Risk","Off Track")))</f>
        <v>Target Met</v>
      </c>
    </row>
    <row r="139" customFormat="false" ht="15" hidden="false" customHeight="false" outlineLevel="0" collapsed="false">
      <c r="A139" s="4" t="s">
        <v>155</v>
      </c>
      <c r="B139" s="4" t="s">
        <v>156</v>
      </c>
      <c r="C139" s="4" t="s">
        <v>266</v>
      </c>
      <c r="D139" s="4" t="s">
        <v>267</v>
      </c>
      <c r="E139" s="4" t="s">
        <v>265</v>
      </c>
      <c r="F139" s="23" t="n">
        <v>47</v>
      </c>
      <c r="G139" s="4" t="n">
        <v>2023</v>
      </c>
      <c r="H139" s="23" t="n">
        <f aca="false">'Asset-Level Data'!AA19</f>
        <v>60</v>
      </c>
      <c r="I139" s="23" t="n">
        <f aca="false">$Q$8</f>
        <v>75</v>
      </c>
      <c r="J139" s="4" t="n">
        <v>2028</v>
      </c>
      <c r="K139" s="9" t="n">
        <f aca="false">(H139-F139)/(I139-F139)</f>
        <v>0.464285714285714</v>
      </c>
      <c r="L139" s="23" t="n">
        <f aca="false">H139-I139</f>
        <v>-15</v>
      </c>
      <c r="M139" s="4" t="str">
        <f aca="false">IF(K139&gt;=1,"Target Met",IF(K139&gt;=0.75,"On Track",IF(K139&gt;=0.4,"At Risk","Off Track")))</f>
        <v>At Risk</v>
      </c>
    </row>
    <row r="140" customFormat="false" ht="15" hidden="false" customHeight="false" outlineLevel="0" collapsed="false">
      <c r="A140" s="4" t="s">
        <v>161</v>
      </c>
      <c r="B140" s="4" t="s">
        <v>162</v>
      </c>
      <c r="C140" s="4" t="s">
        <v>266</v>
      </c>
      <c r="D140" s="4" t="s">
        <v>267</v>
      </c>
      <c r="E140" s="4" t="s">
        <v>265</v>
      </c>
      <c r="F140" s="23" t="n">
        <v>65</v>
      </c>
      <c r="G140" s="4" t="n">
        <v>2023</v>
      </c>
      <c r="H140" s="23" t="n">
        <f aca="false">'Asset-Level Data'!AA20</f>
        <v>80</v>
      </c>
      <c r="I140" s="23" t="n">
        <f aca="false">$Q$8</f>
        <v>75</v>
      </c>
      <c r="J140" s="4" t="n">
        <v>2028</v>
      </c>
      <c r="K140" s="9" t="n">
        <f aca="false">(H140-F140)/(I140-F140)</f>
        <v>1.5</v>
      </c>
      <c r="L140" s="23" t="n">
        <f aca="false">H140-I140</f>
        <v>5</v>
      </c>
      <c r="M140" s="4" t="str">
        <f aca="false">IF(K140&gt;=1,"Target Met",IF(K140&gt;=0.75,"On Track",IF(K140&gt;=0.4,"At Risk","Off Track")))</f>
        <v>Target Met</v>
      </c>
    </row>
    <row r="141" customFormat="false" ht="15" hidden="false" customHeight="false" outlineLevel="0" collapsed="false">
      <c r="A141" s="4" t="s">
        <v>167</v>
      </c>
      <c r="B141" s="4" t="s">
        <v>168</v>
      </c>
      <c r="C141" s="4" t="s">
        <v>266</v>
      </c>
      <c r="D141" s="4" t="s">
        <v>267</v>
      </c>
      <c r="E141" s="4" t="s">
        <v>265</v>
      </c>
      <c r="F141" s="23" t="n">
        <v>45</v>
      </c>
      <c r="G141" s="4" t="n">
        <v>2023</v>
      </c>
      <c r="H141" s="23" t="n">
        <f aca="false">'Asset-Level Data'!AA21</f>
        <v>57</v>
      </c>
      <c r="I141" s="23" t="n">
        <f aca="false">$Q$8</f>
        <v>75</v>
      </c>
      <c r="J141" s="4" t="n">
        <v>2028</v>
      </c>
      <c r="K141" s="9" t="n">
        <f aca="false">(H141-F141)/(I141-F141)</f>
        <v>0.4</v>
      </c>
      <c r="L141" s="23" t="n">
        <f aca="false">H141-I141</f>
        <v>-18</v>
      </c>
      <c r="M141" s="4" t="str">
        <f aca="false">IF(K141&gt;=1,"Target Met",IF(K141&gt;=0.75,"On Track",IF(K141&gt;=0.4,"At Risk","Off Track")))</f>
        <v>At Risk</v>
      </c>
    </row>
    <row r="142" customFormat="false" ht="15" hidden="false" customHeight="false" outlineLevel="0" collapsed="false">
      <c r="A142" s="4" t="s">
        <v>174</v>
      </c>
      <c r="B142" s="4" t="s">
        <v>175</v>
      </c>
      <c r="C142" s="4" t="s">
        <v>266</v>
      </c>
      <c r="D142" s="4" t="s">
        <v>267</v>
      </c>
      <c r="E142" s="4" t="s">
        <v>265</v>
      </c>
      <c r="F142" s="23" t="n">
        <v>59.4</v>
      </c>
      <c r="G142" s="4" t="n">
        <v>2023</v>
      </c>
      <c r="H142" s="23" t="n">
        <f aca="false">'Asset-Level Data'!AA22</f>
        <v>89</v>
      </c>
      <c r="I142" s="23" t="n">
        <f aca="false">$Q$8</f>
        <v>75</v>
      </c>
      <c r="J142" s="4" t="n">
        <v>2028</v>
      </c>
      <c r="K142" s="9" t="n">
        <f aca="false">(H142-F142)/(I142-F142)</f>
        <v>1.8974358974359</v>
      </c>
      <c r="L142" s="23" t="n">
        <f aca="false">H142-I142</f>
        <v>14</v>
      </c>
      <c r="M142" s="4" t="str">
        <f aca="false">IF(K142&gt;=1,"Target Met",IF(K142&gt;=0.75,"On Track",IF(K142&gt;=0.4,"At Risk","Off Track")))</f>
        <v>Target Met</v>
      </c>
    </row>
    <row r="143" customFormat="false" ht="15" hidden="false" customHeight="false" outlineLevel="0" collapsed="false">
      <c r="A143" s="4" t="s">
        <v>179</v>
      </c>
      <c r="B143" s="4" t="s">
        <v>180</v>
      </c>
      <c r="C143" s="4" t="s">
        <v>266</v>
      </c>
      <c r="D143" s="4" t="s">
        <v>267</v>
      </c>
      <c r="E143" s="4" t="s">
        <v>265</v>
      </c>
      <c r="F143" s="23" t="n">
        <v>54.9</v>
      </c>
      <c r="G143" s="4" t="n">
        <v>2023</v>
      </c>
      <c r="H143" s="23" t="n">
        <f aca="false">'Asset-Level Data'!AA23</f>
        <v>82</v>
      </c>
      <c r="I143" s="23" t="n">
        <f aca="false">$Q$8</f>
        <v>75</v>
      </c>
      <c r="J143" s="4" t="n">
        <v>2028</v>
      </c>
      <c r="K143" s="9" t="n">
        <f aca="false">(H143-F143)/(I143-F143)</f>
        <v>1.34825870646766</v>
      </c>
      <c r="L143" s="23" t="n">
        <f aca="false">H143-I143</f>
        <v>7</v>
      </c>
      <c r="M143" s="4" t="str">
        <f aca="false">IF(K143&gt;=1,"Target Met",IF(K143&gt;=0.75,"On Track",IF(K143&gt;=0.4,"At Risk","Off Track")))</f>
        <v>Target Met</v>
      </c>
    </row>
    <row r="144" customFormat="false" ht="15" hidden="false" customHeight="false" outlineLevel="0" collapsed="false">
      <c r="A144" s="4" t="s">
        <v>185</v>
      </c>
      <c r="B144" s="4" t="s">
        <v>186</v>
      </c>
      <c r="C144" s="4" t="s">
        <v>266</v>
      </c>
      <c r="D144" s="4" t="s">
        <v>267</v>
      </c>
      <c r="E144" s="4" t="s">
        <v>265</v>
      </c>
      <c r="F144" s="23" t="n">
        <v>38.4</v>
      </c>
      <c r="G144" s="4" t="n">
        <v>2023</v>
      </c>
      <c r="H144" s="23" t="n">
        <f aca="false">'Asset-Level Data'!AA24</f>
        <v>66</v>
      </c>
      <c r="I144" s="23" t="n">
        <f aca="false">$Q$8</f>
        <v>75</v>
      </c>
      <c r="J144" s="4" t="n">
        <v>2028</v>
      </c>
      <c r="K144" s="9" t="n">
        <f aca="false">(H144-F144)/(I144-F144)</f>
        <v>0.754098360655738</v>
      </c>
      <c r="L144" s="23" t="n">
        <f aca="false">H144-I144</f>
        <v>-9</v>
      </c>
      <c r="M144" s="4" t="str">
        <f aca="false">IF(K144&gt;=1,"Target Met",IF(K144&gt;=0.75,"On Track",IF(K144&gt;=0.4,"At Risk","Off Track")))</f>
        <v>On Track</v>
      </c>
    </row>
    <row r="145" customFormat="false" ht="15" hidden="false" customHeight="false" outlineLevel="0" collapsed="false">
      <c r="A145" s="4" t="s">
        <v>191</v>
      </c>
      <c r="B145" s="4" t="s">
        <v>192</v>
      </c>
      <c r="C145" s="4" t="s">
        <v>266</v>
      </c>
      <c r="D145" s="4" t="s">
        <v>267</v>
      </c>
      <c r="E145" s="4" t="s">
        <v>265</v>
      </c>
      <c r="F145" s="23" t="n">
        <v>49.6</v>
      </c>
      <c r="G145" s="4" t="n">
        <v>2023</v>
      </c>
      <c r="H145" s="23" t="n">
        <f aca="false">'Asset-Level Data'!AA25</f>
        <v>67</v>
      </c>
      <c r="I145" s="23" t="n">
        <f aca="false">$Q$8</f>
        <v>75</v>
      </c>
      <c r="J145" s="4" t="n">
        <v>2028</v>
      </c>
      <c r="K145" s="9" t="n">
        <f aca="false">(H145-F145)/(I145-F145)</f>
        <v>0.68503937007874</v>
      </c>
      <c r="L145" s="23" t="n">
        <f aca="false">H145-I145</f>
        <v>-8</v>
      </c>
      <c r="M145" s="4" t="str">
        <f aca="false">IF(K145&gt;=1,"Target Met",IF(K145&gt;=0.75,"On Track",IF(K145&gt;=0.4,"At Risk","Off Track")))</f>
        <v>At Risk</v>
      </c>
    </row>
    <row r="146" customFormat="false" ht="15" hidden="false" customHeight="false" outlineLevel="0" collapsed="false">
      <c r="A146" s="4" t="s">
        <v>197</v>
      </c>
      <c r="B146" s="4" t="s">
        <v>198</v>
      </c>
      <c r="C146" s="4" t="s">
        <v>266</v>
      </c>
      <c r="D146" s="4" t="s">
        <v>267</v>
      </c>
      <c r="E146" s="4" t="s">
        <v>265</v>
      </c>
      <c r="F146" s="23" t="n">
        <v>37</v>
      </c>
      <c r="G146" s="4" t="n">
        <v>2023</v>
      </c>
      <c r="H146" s="23" t="n">
        <f aca="false">'Asset-Level Data'!AA26</f>
        <v>65</v>
      </c>
      <c r="I146" s="23" t="n">
        <f aca="false">$Q$8</f>
        <v>75</v>
      </c>
      <c r="J146" s="4" t="n">
        <v>2028</v>
      </c>
      <c r="K146" s="9" t="n">
        <f aca="false">(H146-F146)/(I146-F146)</f>
        <v>0.736842105263158</v>
      </c>
      <c r="L146" s="23" t="n">
        <f aca="false">H146-I146</f>
        <v>-10</v>
      </c>
      <c r="M146" s="4" t="str">
        <f aca="false">IF(K146&gt;=1,"Target Met",IF(K146&gt;=0.75,"On Track",IF(K146&gt;=0.4,"At Risk","Off Track")))</f>
        <v>At Risk</v>
      </c>
    </row>
    <row r="147" customFormat="false" ht="15" hidden="false" customHeight="false" outlineLevel="0" collapsed="false">
      <c r="A147" s="4" t="s">
        <v>203</v>
      </c>
      <c r="B147" s="4" t="s">
        <v>204</v>
      </c>
      <c r="C147" s="4" t="s">
        <v>266</v>
      </c>
      <c r="D147" s="4" t="s">
        <v>267</v>
      </c>
      <c r="E147" s="4" t="s">
        <v>265</v>
      </c>
      <c r="F147" s="23" t="n">
        <v>39.6</v>
      </c>
      <c r="G147" s="4" t="n">
        <v>2023</v>
      </c>
      <c r="H147" s="23" t="n">
        <f aca="false">'Asset-Level Data'!AA27</f>
        <v>52</v>
      </c>
      <c r="I147" s="23" t="n">
        <f aca="false">$Q$8</f>
        <v>75</v>
      </c>
      <c r="J147" s="4" t="n">
        <v>2028</v>
      </c>
      <c r="K147" s="9" t="n">
        <f aca="false">(H147-F147)/(I147-F147)</f>
        <v>0.350282485875706</v>
      </c>
      <c r="L147" s="23" t="n">
        <f aca="false">H147-I147</f>
        <v>-23</v>
      </c>
      <c r="M147" s="4" t="str">
        <f aca="false">IF(K147&gt;=1,"Target Met",IF(K147&gt;=0.75,"On Track",IF(K147&gt;=0.4,"At Risk","Off Track")))</f>
        <v>Off Track</v>
      </c>
    </row>
    <row r="148" customFormat="false" ht="15" hidden="false" customHeight="false" outlineLevel="0" collapsed="false">
      <c r="A148" s="4" t="s">
        <v>210</v>
      </c>
      <c r="B148" s="4" t="s">
        <v>211</v>
      </c>
      <c r="C148" s="4" t="s">
        <v>266</v>
      </c>
      <c r="D148" s="4" t="s">
        <v>267</v>
      </c>
      <c r="E148" s="4" t="s">
        <v>265</v>
      </c>
      <c r="F148" s="23" t="n">
        <v>32</v>
      </c>
      <c r="G148" s="4" t="n">
        <v>2023</v>
      </c>
      <c r="H148" s="23" t="n">
        <f aca="false">'Asset-Level Data'!AA28</f>
        <v>57</v>
      </c>
      <c r="I148" s="23" t="n">
        <f aca="false">$Q$8</f>
        <v>75</v>
      </c>
      <c r="J148" s="4" t="n">
        <v>2028</v>
      </c>
      <c r="K148" s="9" t="n">
        <f aca="false">(H148-F148)/(I148-F148)</f>
        <v>0.581395348837209</v>
      </c>
      <c r="L148" s="23" t="n">
        <f aca="false">H148-I148</f>
        <v>-18</v>
      </c>
      <c r="M148" s="4" t="str">
        <f aca="false">IF(K148&gt;=1,"Target Met",IF(K148&gt;=0.75,"On Track",IF(K148&gt;=0.4,"At Risk","Off Track")))</f>
        <v>At Risk</v>
      </c>
    </row>
    <row r="149" customFormat="false" ht="15" hidden="false" customHeight="false" outlineLevel="0" collapsed="false">
      <c r="A149" s="4" t="s">
        <v>216</v>
      </c>
      <c r="B149" s="4" t="s">
        <v>217</v>
      </c>
      <c r="C149" s="4" t="s">
        <v>266</v>
      </c>
      <c r="D149" s="4" t="s">
        <v>267</v>
      </c>
      <c r="E149" s="4" t="s">
        <v>265</v>
      </c>
      <c r="F149" s="23" t="n">
        <v>55</v>
      </c>
      <c r="G149" s="4" t="n">
        <v>2023</v>
      </c>
      <c r="H149" s="23" t="n">
        <f aca="false">'Asset-Level Data'!AA29</f>
        <v>88</v>
      </c>
      <c r="I149" s="23" t="n">
        <f aca="false">$Q$8</f>
        <v>75</v>
      </c>
      <c r="J149" s="4" t="n">
        <v>2028</v>
      </c>
      <c r="K149" s="9" t="n">
        <f aca="false">(H149-F149)/(I149-F149)</f>
        <v>1.65</v>
      </c>
      <c r="L149" s="23" t="n">
        <f aca="false">H149-I149</f>
        <v>13</v>
      </c>
      <c r="M149" s="4" t="str">
        <f aca="false">IF(K149&gt;=1,"Target Met",IF(K149&gt;=0.75,"On Track",IF(K149&gt;=0.4,"At Risk","Off Track")))</f>
        <v>Target Met</v>
      </c>
    </row>
    <row r="150" customFormat="false" ht="15" hidden="false" customHeight="false" outlineLevel="0" collapsed="false">
      <c r="A150" s="4" t="s">
        <v>222</v>
      </c>
      <c r="B150" s="4" t="s">
        <v>223</v>
      </c>
      <c r="C150" s="4" t="s">
        <v>266</v>
      </c>
      <c r="D150" s="4" t="s">
        <v>267</v>
      </c>
      <c r="E150" s="4" t="s">
        <v>265</v>
      </c>
      <c r="F150" s="23" t="n">
        <v>49.5</v>
      </c>
      <c r="G150" s="4" t="n">
        <v>2023</v>
      </c>
      <c r="H150" s="23" t="n">
        <f aca="false">'Asset-Level Data'!AA30</f>
        <v>79</v>
      </c>
      <c r="I150" s="23" t="n">
        <f aca="false">$Q$8</f>
        <v>75</v>
      </c>
      <c r="J150" s="4" t="n">
        <v>2028</v>
      </c>
      <c r="K150" s="9" t="n">
        <f aca="false">(H150-F150)/(I150-F150)</f>
        <v>1.15686274509804</v>
      </c>
      <c r="L150" s="23" t="n">
        <f aca="false">H150-I150</f>
        <v>4</v>
      </c>
      <c r="M150" s="4" t="str">
        <f aca="false">IF(K150&gt;=1,"Target Met",IF(K150&gt;=0.75,"On Track",IF(K150&gt;=0.4,"At Risk","Off Track")))</f>
        <v>Target Met</v>
      </c>
    </row>
    <row r="151" customFormat="false" ht="15" hidden="false" customHeight="false" outlineLevel="0" collapsed="false">
      <c r="A151" s="4" t="s">
        <v>228</v>
      </c>
      <c r="B151" s="4" t="s">
        <v>229</v>
      </c>
      <c r="C151" s="4" t="s">
        <v>266</v>
      </c>
      <c r="D151" s="4" t="s">
        <v>267</v>
      </c>
      <c r="E151" s="4" t="s">
        <v>265</v>
      </c>
      <c r="F151" s="23" t="n">
        <v>36</v>
      </c>
      <c r="G151" s="4" t="n">
        <v>2023</v>
      </c>
      <c r="H151" s="23" t="n">
        <f aca="false">'Asset-Level Data'!AA31</f>
        <v>52</v>
      </c>
      <c r="I151" s="23" t="n">
        <f aca="false">$Q$8</f>
        <v>75</v>
      </c>
      <c r="J151" s="4" t="n">
        <v>2028</v>
      </c>
      <c r="K151" s="9" t="n">
        <f aca="false">(H151-F151)/(I151-F151)</f>
        <v>0.41025641025641</v>
      </c>
      <c r="L151" s="23" t="n">
        <f aca="false">H151-I151</f>
        <v>-23</v>
      </c>
      <c r="M151" s="4" t="str">
        <f aca="false">IF(K151&gt;=1,"Target Met",IF(K151&gt;=0.75,"On Track",IF(K151&gt;=0.4,"At Risk","Off Track")))</f>
        <v>At Risk</v>
      </c>
    </row>
    <row r="152" customFormat="false" ht="15" hidden="false" customHeight="false" outlineLevel="0" collapsed="false">
      <c r="A152" s="4" t="s">
        <v>31</v>
      </c>
      <c r="B152" s="4" t="s">
        <v>32</v>
      </c>
      <c r="C152" s="4" t="s">
        <v>268</v>
      </c>
      <c r="D152" s="4" t="s">
        <v>264</v>
      </c>
      <c r="E152" s="4" t="s">
        <v>265</v>
      </c>
      <c r="F152" s="9" t="n">
        <v>0.465</v>
      </c>
      <c r="G152" s="4" t="n">
        <v>2023</v>
      </c>
      <c r="H152" s="9" t="n">
        <f aca="false">'Asset-Level Data'!Z2</f>
        <v>0.815</v>
      </c>
      <c r="I152" s="9" t="n">
        <f aca="false">$Q$9</f>
        <v>0.75</v>
      </c>
      <c r="J152" s="4" t="n">
        <v>2026</v>
      </c>
      <c r="K152" s="9" t="n">
        <f aca="false">(H152-F152)/(I152-F152)</f>
        <v>1.2280701754386</v>
      </c>
      <c r="L152" s="9" t="n">
        <f aca="false">H152-I152</f>
        <v>0.065</v>
      </c>
      <c r="M152" s="4" t="str">
        <f aca="false">IF(K152&gt;=1,"Target Met",IF(K152&gt;=0.75,"On Track",IF(K152&gt;=0.4,"At Risk","Off Track")))</f>
        <v>Target Met</v>
      </c>
    </row>
    <row r="153" customFormat="false" ht="15" hidden="false" customHeight="false" outlineLevel="0" collapsed="false">
      <c r="A153" s="4" t="s">
        <v>44</v>
      </c>
      <c r="B153" s="4" t="s">
        <v>45</v>
      </c>
      <c r="C153" s="4" t="s">
        <v>268</v>
      </c>
      <c r="D153" s="4" t="s">
        <v>264</v>
      </c>
      <c r="E153" s="4" t="s">
        <v>265</v>
      </c>
      <c r="F153" s="9" t="n">
        <v>0.39</v>
      </c>
      <c r="G153" s="4" t="n">
        <v>2023</v>
      </c>
      <c r="H153" s="9" t="n">
        <f aca="false">'Asset-Level Data'!Z3</f>
        <v>0.637</v>
      </c>
      <c r="I153" s="9" t="n">
        <f aca="false">$Q$9</f>
        <v>0.75</v>
      </c>
      <c r="J153" s="4" t="n">
        <v>2026</v>
      </c>
      <c r="K153" s="9" t="n">
        <f aca="false">(H153-F153)/(I153-F153)</f>
        <v>0.686111111111111</v>
      </c>
      <c r="L153" s="9" t="n">
        <f aca="false">H153-I153</f>
        <v>-0.113</v>
      </c>
      <c r="M153" s="4" t="str">
        <f aca="false">IF(K153&gt;=1,"Target Met",IF(K153&gt;=0.75,"On Track",IF(K153&gt;=0.4,"At Risk","Off Track")))</f>
        <v>At Risk</v>
      </c>
    </row>
    <row r="154" customFormat="false" ht="15" hidden="false" customHeight="false" outlineLevel="0" collapsed="false">
      <c r="A154" s="4" t="s">
        <v>54</v>
      </c>
      <c r="B154" s="4" t="s">
        <v>55</v>
      </c>
      <c r="C154" s="4" t="s">
        <v>268</v>
      </c>
      <c r="D154" s="4" t="s">
        <v>264</v>
      </c>
      <c r="E154" s="4" t="s">
        <v>265</v>
      </c>
      <c r="F154" s="9" t="n">
        <v>0.454</v>
      </c>
      <c r="G154" s="4" t="n">
        <v>2023</v>
      </c>
      <c r="H154" s="9" t="n">
        <f aca="false">'Asset-Level Data'!Z4</f>
        <v>0.758</v>
      </c>
      <c r="I154" s="9" t="n">
        <f aca="false">$Q$9</f>
        <v>0.75</v>
      </c>
      <c r="J154" s="4" t="n">
        <v>2026</v>
      </c>
      <c r="K154" s="9" t="n">
        <f aca="false">(H154-F154)/(I154-F154)</f>
        <v>1.02702702702703</v>
      </c>
      <c r="L154" s="9" t="n">
        <f aca="false">H154-I154</f>
        <v>0.00800000000000001</v>
      </c>
      <c r="M154" s="4" t="str">
        <f aca="false">IF(K154&gt;=1,"Target Met",IF(K154&gt;=0.75,"On Track",IF(K154&gt;=0.4,"At Risk","Off Track")))</f>
        <v>Target Met</v>
      </c>
    </row>
    <row r="155" customFormat="false" ht="15" hidden="false" customHeight="false" outlineLevel="0" collapsed="false">
      <c r="A155" s="4" t="s">
        <v>63</v>
      </c>
      <c r="B155" s="4" t="s">
        <v>64</v>
      </c>
      <c r="C155" s="4" t="s">
        <v>268</v>
      </c>
      <c r="D155" s="4" t="s">
        <v>264</v>
      </c>
      <c r="E155" s="4" t="s">
        <v>265</v>
      </c>
      <c r="F155" s="9" t="n">
        <v>0.524</v>
      </c>
      <c r="G155" s="4" t="n">
        <v>2023</v>
      </c>
      <c r="H155" s="9" t="n">
        <f aca="false">'Asset-Level Data'!Z5</f>
        <v>0.803</v>
      </c>
      <c r="I155" s="9" t="n">
        <f aca="false">$Q$9</f>
        <v>0.75</v>
      </c>
      <c r="J155" s="4" t="n">
        <v>2026</v>
      </c>
      <c r="K155" s="9" t="n">
        <f aca="false">(H155-F155)/(I155-F155)</f>
        <v>1.23451327433628</v>
      </c>
      <c r="L155" s="9" t="n">
        <f aca="false">H155-I155</f>
        <v>0.0530000000000001</v>
      </c>
      <c r="M155" s="4" t="str">
        <f aca="false">IF(K155&gt;=1,"Target Met",IF(K155&gt;=0.75,"On Track",IF(K155&gt;=0.4,"At Risk","Off Track")))</f>
        <v>Target Met</v>
      </c>
    </row>
    <row r="156" customFormat="false" ht="15" hidden="false" customHeight="false" outlineLevel="0" collapsed="false">
      <c r="A156" s="4" t="s">
        <v>72</v>
      </c>
      <c r="B156" s="4" t="s">
        <v>73</v>
      </c>
      <c r="C156" s="4" t="s">
        <v>268</v>
      </c>
      <c r="D156" s="4" t="s">
        <v>264</v>
      </c>
      <c r="E156" s="4" t="s">
        <v>265</v>
      </c>
      <c r="F156" s="9" t="n">
        <v>0.53</v>
      </c>
      <c r="G156" s="4" t="n">
        <v>2023</v>
      </c>
      <c r="H156" s="9" t="n">
        <f aca="false">'Asset-Level Data'!Z6</f>
        <v>0.937</v>
      </c>
      <c r="I156" s="9" t="n">
        <f aca="false">$Q$9</f>
        <v>0.75</v>
      </c>
      <c r="J156" s="4" t="n">
        <v>2026</v>
      </c>
      <c r="K156" s="9" t="n">
        <f aca="false">(H156-F156)/(I156-F156)</f>
        <v>1.85</v>
      </c>
      <c r="L156" s="9" t="n">
        <f aca="false">H156-I156</f>
        <v>0.187</v>
      </c>
      <c r="M156" s="4" t="str">
        <f aca="false">IF(K156&gt;=1,"Target Met",IF(K156&gt;=0.75,"On Track",IF(K156&gt;=0.4,"At Risk","Off Track")))</f>
        <v>Target Met</v>
      </c>
    </row>
    <row r="157" customFormat="false" ht="15" hidden="false" customHeight="false" outlineLevel="0" collapsed="false">
      <c r="A157" s="4" t="s">
        <v>82</v>
      </c>
      <c r="B157" s="4" t="s">
        <v>83</v>
      </c>
      <c r="C157" s="4" t="s">
        <v>268</v>
      </c>
      <c r="D157" s="4" t="s">
        <v>264</v>
      </c>
      <c r="E157" s="4" t="s">
        <v>265</v>
      </c>
      <c r="F157" s="9" t="n">
        <v>0.491</v>
      </c>
      <c r="G157" s="4" t="n">
        <v>2023</v>
      </c>
      <c r="H157" s="9" t="n">
        <f aca="false">'Asset-Level Data'!Z7</f>
        <v>0.893</v>
      </c>
      <c r="I157" s="9" t="n">
        <f aca="false">$Q$9</f>
        <v>0.75</v>
      </c>
      <c r="J157" s="4" t="n">
        <v>2026</v>
      </c>
      <c r="K157" s="9" t="n">
        <f aca="false">(H157-F157)/(I157-F157)</f>
        <v>1.55212355212355</v>
      </c>
      <c r="L157" s="9" t="n">
        <f aca="false">H157-I157</f>
        <v>0.143</v>
      </c>
      <c r="M157" s="4" t="str">
        <f aca="false">IF(K157&gt;=1,"Target Met",IF(K157&gt;=0.75,"On Track",IF(K157&gt;=0.4,"At Risk","Off Track")))</f>
        <v>Target Met</v>
      </c>
    </row>
    <row r="158" customFormat="false" ht="15" hidden="false" customHeight="false" outlineLevel="0" collapsed="false">
      <c r="A158" s="4" t="s">
        <v>89</v>
      </c>
      <c r="B158" s="4" t="s">
        <v>90</v>
      </c>
      <c r="C158" s="4" t="s">
        <v>268</v>
      </c>
      <c r="D158" s="4" t="s">
        <v>264</v>
      </c>
      <c r="E158" s="4" t="s">
        <v>265</v>
      </c>
      <c r="F158" s="9" t="n">
        <v>0.455</v>
      </c>
      <c r="G158" s="4" t="n">
        <v>2023</v>
      </c>
      <c r="H158" s="9" t="n">
        <f aca="false">'Asset-Level Data'!Z8</f>
        <v>0.764</v>
      </c>
      <c r="I158" s="9" t="n">
        <f aca="false">$Q$9</f>
        <v>0.75</v>
      </c>
      <c r="J158" s="4" t="n">
        <v>2026</v>
      </c>
      <c r="K158" s="9" t="n">
        <f aca="false">(H158-F158)/(I158-F158)</f>
        <v>1.04745762711864</v>
      </c>
      <c r="L158" s="9" t="n">
        <f aca="false">H158-I158</f>
        <v>0.014</v>
      </c>
      <c r="M158" s="4" t="str">
        <f aca="false">IF(K158&gt;=1,"Target Met",IF(K158&gt;=0.75,"On Track",IF(K158&gt;=0.4,"At Risk","Off Track")))</f>
        <v>Target Met</v>
      </c>
    </row>
    <row r="159" customFormat="false" ht="15" hidden="false" customHeight="false" outlineLevel="0" collapsed="false">
      <c r="A159" s="4" t="s">
        <v>95</v>
      </c>
      <c r="B159" s="4" t="s">
        <v>96</v>
      </c>
      <c r="C159" s="4" t="s">
        <v>268</v>
      </c>
      <c r="D159" s="4" t="s">
        <v>264</v>
      </c>
      <c r="E159" s="4" t="s">
        <v>265</v>
      </c>
      <c r="F159" s="9" t="n">
        <v>0.484</v>
      </c>
      <c r="G159" s="4" t="n">
        <v>2023</v>
      </c>
      <c r="H159" s="9" t="n">
        <f aca="false">'Asset-Level Data'!Z9</f>
        <v>0.834</v>
      </c>
      <c r="I159" s="9" t="n">
        <f aca="false">$Q$9</f>
        <v>0.75</v>
      </c>
      <c r="J159" s="4" t="n">
        <v>2026</v>
      </c>
      <c r="K159" s="9" t="n">
        <f aca="false">(H159-F159)/(I159-F159)</f>
        <v>1.31578947368421</v>
      </c>
      <c r="L159" s="9" t="n">
        <f aca="false">H159-I159</f>
        <v>0.084</v>
      </c>
      <c r="M159" s="4" t="str">
        <f aca="false">IF(K159&gt;=1,"Target Met",IF(K159&gt;=0.75,"On Track",IF(K159&gt;=0.4,"At Risk","Off Track")))</f>
        <v>Target Met</v>
      </c>
    </row>
    <row r="160" customFormat="false" ht="15" hidden="false" customHeight="false" outlineLevel="0" collapsed="false">
      <c r="A160" s="4" t="s">
        <v>101</v>
      </c>
      <c r="B160" s="4" t="s">
        <v>102</v>
      </c>
      <c r="C160" s="4" t="s">
        <v>268</v>
      </c>
      <c r="D160" s="4" t="s">
        <v>264</v>
      </c>
      <c r="E160" s="4" t="s">
        <v>265</v>
      </c>
      <c r="F160" s="9" t="n">
        <v>0.556</v>
      </c>
      <c r="G160" s="4" t="n">
        <v>2023</v>
      </c>
      <c r="H160" s="9" t="n">
        <f aca="false">'Asset-Level Data'!Z10</f>
        <v>0.844</v>
      </c>
      <c r="I160" s="9" t="n">
        <f aca="false">$Q$9</f>
        <v>0.75</v>
      </c>
      <c r="J160" s="4" t="n">
        <v>2026</v>
      </c>
      <c r="K160" s="9" t="n">
        <f aca="false">(H160-F160)/(I160-F160)</f>
        <v>1.48453608247423</v>
      </c>
      <c r="L160" s="9" t="n">
        <f aca="false">H160-I160</f>
        <v>0.094</v>
      </c>
      <c r="M160" s="4" t="str">
        <f aca="false">IF(K160&gt;=1,"Target Met",IF(K160&gt;=0.75,"On Track",IF(K160&gt;=0.4,"At Risk","Off Track")))</f>
        <v>Target Met</v>
      </c>
    </row>
    <row r="161" customFormat="false" ht="15" hidden="false" customHeight="false" outlineLevel="0" collapsed="false">
      <c r="A161" s="4" t="s">
        <v>106</v>
      </c>
      <c r="B161" s="4" t="s">
        <v>107</v>
      </c>
      <c r="C161" s="4" t="s">
        <v>268</v>
      </c>
      <c r="D161" s="4" t="s">
        <v>264</v>
      </c>
      <c r="E161" s="4" t="s">
        <v>265</v>
      </c>
      <c r="F161" s="9" t="n">
        <v>0.349</v>
      </c>
      <c r="G161" s="4" t="n">
        <v>2023</v>
      </c>
      <c r="H161" s="9" t="n">
        <f aca="false">'Asset-Level Data'!Z11</f>
        <v>0.625</v>
      </c>
      <c r="I161" s="9" t="n">
        <f aca="false">$Q$9</f>
        <v>0.75</v>
      </c>
      <c r="J161" s="4" t="n">
        <v>2026</v>
      </c>
      <c r="K161" s="9" t="n">
        <f aca="false">(H161-F161)/(I161-F161)</f>
        <v>0.688279301745636</v>
      </c>
      <c r="L161" s="9" t="n">
        <f aca="false">H161-I161</f>
        <v>-0.125</v>
      </c>
      <c r="M161" s="4" t="str">
        <f aca="false">IF(K161&gt;=1,"Target Met",IF(K161&gt;=0.75,"On Track",IF(K161&gt;=0.4,"At Risk","Off Track")))</f>
        <v>At Risk</v>
      </c>
    </row>
    <row r="162" customFormat="false" ht="15" hidden="false" customHeight="false" outlineLevel="0" collapsed="false">
      <c r="A162" s="4" t="s">
        <v>112</v>
      </c>
      <c r="B162" s="4" t="s">
        <v>113</v>
      </c>
      <c r="C162" s="4" t="s">
        <v>268</v>
      </c>
      <c r="D162" s="4" t="s">
        <v>264</v>
      </c>
      <c r="E162" s="4" t="s">
        <v>265</v>
      </c>
      <c r="F162" s="9" t="n">
        <v>0.659</v>
      </c>
      <c r="G162" s="4" t="n">
        <v>2023</v>
      </c>
      <c r="H162" s="9" t="n">
        <f aca="false">'Asset-Level Data'!Z12</f>
        <v>0.811</v>
      </c>
      <c r="I162" s="9" t="n">
        <f aca="false">$Q$9</f>
        <v>0.75</v>
      </c>
      <c r="J162" s="4" t="n">
        <v>2026</v>
      </c>
      <c r="K162" s="9" t="n">
        <f aca="false">(H162-F162)/(I162-F162)</f>
        <v>1.67032967032967</v>
      </c>
      <c r="L162" s="9" t="n">
        <f aca="false">H162-I162</f>
        <v>0.0610000000000001</v>
      </c>
      <c r="M162" s="4" t="str">
        <f aca="false">IF(K162&gt;=1,"Target Met",IF(K162&gt;=0.75,"On Track",IF(K162&gt;=0.4,"At Risk","Off Track")))</f>
        <v>Target Met</v>
      </c>
    </row>
    <row r="163" customFormat="false" ht="15" hidden="false" customHeight="false" outlineLevel="0" collapsed="false">
      <c r="A163" s="4" t="s">
        <v>119</v>
      </c>
      <c r="B163" s="4" t="s">
        <v>120</v>
      </c>
      <c r="C163" s="4" t="s">
        <v>268</v>
      </c>
      <c r="D163" s="4" t="s">
        <v>264</v>
      </c>
      <c r="E163" s="4" t="s">
        <v>265</v>
      </c>
      <c r="F163" s="9" t="n">
        <v>0.431</v>
      </c>
      <c r="G163" s="4" t="n">
        <v>2023</v>
      </c>
      <c r="H163" s="9" t="n">
        <f aca="false">'Asset-Level Data'!Z13</f>
        <v>0.587</v>
      </c>
      <c r="I163" s="9" t="n">
        <f aca="false">$Q$9</f>
        <v>0.75</v>
      </c>
      <c r="J163" s="4" t="n">
        <v>2026</v>
      </c>
      <c r="K163" s="9" t="n">
        <f aca="false">(H163-F163)/(I163-F163)</f>
        <v>0.489028213166144</v>
      </c>
      <c r="L163" s="9" t="n">
        <f aca="false">H163-I163</f>
        <v>-0.163</v>
      </c>
      <c r="M163" s="4" t="str">
        <f aca="false">IF(K163&gt;=1,"Target Met",IF(K163&gt;=0.75,"On Track",IF(K163&gt;=0.4,"At Risk","Off Track")))</f>
        <v>At Risk</v>
      </c>
    </row>
    <row r="164" customFormat="false" ht="15" hidden="false" customHeight="false" outlineLevel="0" collapsed="false">
      <c r="A164" s="4" t="s">
        <v>125</v>
      </c>
      <c r="B164" s="4" t="s">
        <v>126</v>
      </c>
      <c r="C164" s="4" t="s">
        <v>268</v>
      </c>
      <c r="D164" s="4" t="s">
        <v>264</v>
      </c>
      <c r="E164" s="4" t="s">
        <v>265</v>
      </c>
      <c r="F164" s="9" t="n">
        <v>0.384</v>
      </c>
      <c r="G164" s="4" t="n">
        <v>2023</v>
      </c>
      <c r="H164" s="9" t="n">
        <f aca="false">'Asset-Level Data'!Z14</f>
        <v>0.646</v>
      </c>
      <c r="I164" s="9" t="n">
        <f aca="false">$Q$9</f>
        <v>0.75</v>
      </c>
      <c r="J164" s="4" t="n">
        <v>2026</v>
      </c>
      <c r="K164" s="9" t="n">
        <f aca="false">(H164-F164)/(I164-F164)</f>
        <v>0.715846994535519</v>
      </c>
      <c r="L164" s="9" t="n">
        <f aca="false">H164-I164</f>
        <v>-0.104</v>
      </c>
      <c r="M164" s="4" t="str">
        <f aca="false">IF(K164&gt;=1,"Target Met",IF(K164&gt;=0.75,"On Track",IF(K164&gt;=0.4,"At Risk","Off Track")))</f>
        <v>At Risk</v>
      </c>
    </row>
    <row r="165" customFormat="false" ht="15" hidden="false" customHeight="false" outlineLevel="0" collapsed="false">
      <c r="A165" s="4" t="s">
        <v>131</v>
      </c>
      <c r="B165" s="4" t="s">
        <v>132</v>
      </c>
      <c r="C165" s="4" t="s">
        <v>268</v>
      </c>
      <c r="D165" s="4" t="s">
        <v>264</v>
      </c>
      <c r="E165" s="4" t="s">
        <v>265</v>
      </c>
      <c r="F165" s="9" t="n">
        <v>0.594</v>
      </c>
      <c r="G165" s="4" t="n">
        <v>2023</v>
      </c>
      <c r="H165" s="9" t="n">
        <f aca="false">'Asset-Level Data'!Z15</f>
        <v>0.95</v>
      </c>
      <c r="I165" s="9" t="n">
        <f aca="false">$Q$9</f>
        <v>0.75</v>
      </c>
      <c r="J165" s="4" t="n">
        <v>2026</v>
      </c>
      <c r="K165" s="9" t="n">
        <f aca="false">(H165-F165)/(I165-F165)</f>
        <v>2.28205128205128</v>
      </c>
      <c r="L165" s="9" t="n">
        <f aca="false">H165-I165</f>
        <v>0.2</v>
      </c>
      <c r="M165" s="4" t="str">
        <f aca="false">IF(K165&gt;=1,"Target Met",IF(K165&gt;=0.75,"On Track",IF(K165&gt;=0.4,"At Risk","Off Track")))</f>
        <v>Target Met</v>
      </c>
    </row>
    <row r="166" customFormat="false" ht="15" hidden="false" customHeight="false" outlineLevel="0" collapsed="false">
      <c r="A166" s="4" t="s">
        <v>136</v>
      </c>
      <c r="B166" s="4" t="s">
        <v>137</v>
      </c>
      <c r="C166" s="4" t="s">
        <v>268</v>
      </c>
      <c r="D166" s="4" t="s">
        <v>264</v>
      </c>
      <c r="E166" s="4" t="s">
        <v>265</v>
      </c>
      <c r="F166" s="9" t="n">
        <v>0.49</v>
      </c>
      <c r="G166" s="4" t="n">
        <v>2023</v>
      </c>
      <c r="H166" s="9" t="n">
        <f aca="false">'Asset-Level Data'!Z16</f>
        <v>0.749</v>
      </c>
      <c r="I166" s="9" t="n">
        <f aca="false">$Q$9</f>
        <v>0.75</v>
      </c>
      <c r="J166" s="4" t="n">
        <v>2026</v>
      </c>
      <c r="K166" s="9" t="n">
        <f aca="false">(H166-F166)/(I166-F166)</f>
        <v>0.996153846153846</v>
      </c>
      <c r="L166" s="9" t="n">
        <f aca="false">H166-I166</f>
        <v>-0.001</v>
      </c>
      <c r="M166" s="4" t="str">
        <f aca="false">IF(K166&gt;=1,"Target Met",IF(K166&gt;=0.75,"On Track",IF(K166&gt;=0.4,"At Risk","Off Track")))</f>
        <v>On Track</v>
      </c>
    </row>
    <row r="167" customFormat="false" ht="15" hidden="false" customHeight="false" outlineLevel="0" collapsed="false">
      <c r="A167" s="4" t="s">
        <v>142</v>
      </c>
      <c r="B167" s="4" t="s">
        <v>143</v>
      </c>
      <c r="C167" s="4" t="s">
        <v>268</v>
      </c>
      <c r="D167" s="4" t="s">
        <v>264</v>
      </c>
      <c r="E167" s="4" t="s">
        <v>265</v>
      </c>
      <c r="F167" s="9" t="n">
        <v>0.625</v>
      </c>
      <c r="G167" s="4" t="n">
        <v>2023</v>
      </c>
      <c r="H167" s="9" t="n">
        <f aca="false">'Asset-Level Data'!Z17</f>
        <v>0.948</v>
      </c>
      <c r="I167" s="9" t="n">
        <f aca="false">$Q$9</f>
        <v>0.75</v>
      </c>
      <c r="J167" s="4" t="n">
        <v>2026</v>
      </c>
      <c r="K167" s="9" t="n">
        <f aca="false">(H167-F167)/(I167-F167)</f>
        <v>2.584</v>
      </c>
      <c r="L167" s="9" t="n">
        <f aca="false">H167-I167</f>
        <v>0.198</v>
      </c>
      <c r="M167" s="4" t="str">
        <f aca="false">IF(K167&gt;=1,"Target Met",IF(K167&gt;=0.75,"On Track",IF(K167&gt;=0.4,"At Risk","Off Track")))</f>
        <v>Target Met</v>
      </c>
    </row>
    <row r="168" customFormat="false" ht="15" hidden="false" customHeight="false" outlineLevel="0" collapsed="false">
      <c r="A168" s="4" t="s">
        <v>148</v>
      </c>
      <c r="B168" s="4" t="s">
        <v>149</v>
      </c>
      <c r="C168" s="4" t="s">
        <v>268</v>
      </c>
      <c r="D168" s="4" t="s">
        <v>264</v>
      </c>
      <c r="E168" s="4" t="s">
        <v>265</v>
      </c>
      <c r="F168" s="9" t="n">
        <v>0.381</v>
      </c>
      <c r="G168" s="4" t="n">
        <v>2023</v>
      </c>
      <c r="H168" s="9" t="n">
        <f aca="false">'Asset-Level Data'!Z18</f>
        <v>0.65</v>
      </c>
      <c r="I168" s="9" t="n">
        <f aca="false">$Q$9</f>
        <v>0.75</v>
      </c>
      <c r="J168" s="4" t="n">
        <v>2026</v>
      </c>
      <c r="K168" s="9" t="n">
        <f aca="false">(H168-F168)/(I168-F168)</f>
        <v>0.7289972899729</v>
      </c>
      <c r="L168" s="9" t="n">
        <f aca="false">H168-I168</f>
        <v>-0.1</v>
      </c>
      <c r="M168" s="4" t="str">
        <f aca="false">IF(K168&gt;=1,"Target Met",IF(K168&gt;=0.75,"On Track",IF(K168&gt;=0.4,"At Risk","Off Track")))</f>
        <v>At Risk</v>
      </c>
    </row>
    <row r="169" customFormat="false" ht="15" hidden="false" customHeight="false" outlineLevel="0" collapsed="false">
      <c r="A169" s="4" t="s">
        <v>155</v>
      </c>
      <c r="B169" s="4" t="s">
        <v>156</v>
      </c>
      <c r="C169" s="4" t="s">
        <v>268</v>
      </c>
      <c r="D169" s="4" t="s">
        <v>264</v>
      </c>
      <c r="E169" s="4" t="s">
        <v>265</v>
      </c>
      <c r="F169" s="9" t="n">
        <v>0.658</v>
      </c>
      <c r="G169" s="4" t="n">
        <v>2023</v>
      </c>
      <c r="H169" s="9" t="n">
        <f aca="false">'Asset-Level Data'!Z19</f>
        <v>0.818</v>
      </c>
      <c r="I169" s="9" t="n">
        <f aca="false">$Q$9</f>
        <v>0.75</v>
      </c>
      <c r="J169" s="4" t="n">
        <v>2026</v>
      </c>
      <c r="K169" s="9" t="n">
        <f aca="false">(H169-F169)/(I169-F169)</f>
        <v>1.73913043478261</v>
      </c>
      <c r="L169" s="9" t="n">
        <f aca="false">H169-I169</f>
        <v>0.068</v>
      </c>
      <c r="M169" s="4" t="str">
        <f aca="false">IF(K169&gt;=1,"Target Met",IF(K169&gt;=0.75,"On Track",IF(K169&gt;=0.4,"At Risk","Off Track")))</f>
        <v>Target Met</v>
      </c>
    </row>
    <row r="170" customFormat="false" ht="15" hidden="false" customHeight="false" outlineLevel="0" collapsed="false">
      <c r="A170" s="4" t="s">
        <v>161</v>
      </c>
      <c r="B170" s="4" t="s">
        <v>162</v>
      </c>
      <c r="C170" s="4" t="s">
        <v>268</v>
      </c>
      <c r="D170" s="4" t="s">
        <v>264</v>
      </c>
      <c r="E170" s="4" t="s">
        <v>265</v>
      </c>
      <c r="F170" s="9" t="n">
        <v>0.493</v>
      </c>
      <c r="G170" s="4" t="n">
        <v>2023</v>
      </c>
      <c r="H170" s="9" t="n">
        <f aca="false">'Asset-Level Data'!Z20</f>
        <v>0.581</v>
      </c>
      <c r="I170" s="9" t="n">
        <f aca="false">$Q$9</f>
        <v>0.75</v>
      </c>
      <c r="J170" s="4" t="n">
        <v>2026</v>
      </c>
      <c r="K170" s="9" t="n">
        <f aca="false">(H170-F170)/(I170-F170)</f>
        <v>0.342412451361868</v>
      </c>
      <c r="L170" s="9" t="n">
        <f aca="false">H170-I170</f>
        <v>-0.169</v>
      </c>
      <c r="M170" s="4" t="str">
        <f aca="false">IF(K170&gt;=1,"Target Met",IF(K170&gt;=0.75,"On Track",IF(K170&gt;=0.4,"At Risk","Off Track")))</f>
        <v>Off Track</v>
      </c>
    </row>
    <row r="171" customFormat="false" ht="15" hidden="false" customHeight="false" outlineLevel="0" collapsed="false">
      <c r="A171" s="4" t="s">
        <v>167</v>
      </c>
      <c r="B171" s="4" t="s">
        <v>168</v>
      </c>
      <c r="C171" s="4" t="s">
        <v>268</v>
      </c>
      <c r="D171" s="4" t="s">
        <v>264</v>
      </c>
      <c r="E171" s="4" t="s">
        <v>265</v>
      </c>
      <c r="F171" s="9" t="n">
        <v>0.638</v>
      </c>
      <c r="G171" s="4" t="n">
        <v>2023</v>
      </c>
      <c r="H171" s="9" t="n">
        <f aca="false">'Asset-Level Data'!Z21</f>
        <v>0.925</v>
      </c>
      <c r="I171" s="9" t="n">
        <f aca="false">$Q$9</f>
        <v>0.75</v>
      </c>
      <c r="J171" s="4" t="n">
        <v>2026</v>
      </c>
      <c r="K171" s="9" t="n">
        <f aca="false">(H171-F171)/(I171-F171)</f>
        <v>2.5625</v>
      </c>
      <c r="L171" s="9" t="n">
        <f aca="false">H171-I171</f>
        <v>0.175</v>
      </c>
      <c r="M171" s="4" t="str">
        <f aca="false">IF(K171&gt;=1,"Target Met",IF(K171&gt;=0.75,"On Track",IF(K171&gt;=0.4,"At Risk","Off Track")))</f>
        <v>Target Met</v>
      </c>
    </row>
    <row r="172" customFormat="false" ht="15" hidden="false" customHeight="false" outlineLevel="0" collapsed="false">
      <c r="A172" s="4" t="s">
        <v>174</v>
      </c>
      <c r="B172" s="4" t="s">
        <v>175</v>
      </c>
      <c r="C172" s="4" t="s">
        <v>268</v>
      </c>
      <c r="D172" s="4" t="s">
        <v>264</v>
      </c>
      <c r="E172" s="4" t="s">
        <v>265</v>
      </c>
      <c r="F172" s="9" t="n">
        <v>0.48</v>
      </c>
      <c r="G172" s="4" t="n">
        <v>2023</v>
      </c>
      <c r="H172" s="9" t="n">
        <f aca="false">'Asset-Level Data'!Z22</f>
        <v>0.69</v>
      </c>
      <c r="I172" s="9" t="n">
        <f aca="false">$Q$9</f>
        <v>0.75</v>
      </c>
      <c r="J172" s="4" t="n">
        <v>2026</v>
      </c>
      <c r="K172" s="9" t="n">
        <f aca="false">(H172-F172)/(I172-F172)</f>
        <v>0.777777777777778</v>
      </c>
      <c r="L172" s="9" t="n">
        <f aca="false">H172-I172</f>
        <v>-0.0600000000000001</v>
      </c>
      <c r="M172" s="4" t="str">
        <f aca="false">IF(K172&gt;=1,"Target Met",IF(K172&gt;=0.75,"On Track",IF(K172&gt;=0.4,"At Risk","Off Track")))</f>
        <v>On Track</v>
      </c>
    </row>
    <row r="173" customFormat="false" ht="15" hidden="false" customHeight="false" outlineLevel="0" collapsed="false">
      <c r="A173" s="4" t="s">
        <v>179</v>
      </c>
      <c r="B173" s="4" t="s">
        <v>180</v>
      </c>
      <c r="C173" s="4" t="s">
        <v>268</v>
      </c>
      <c r="D173" s="4" t="s">
        <v>264</v>
      </c>
      <c r="E173" s="4" t="s">
        <v>265</v>
      </c>
      <c r="F173" s="9" t="n">
        <v>0.362</v>
      </c>
      <c r="G173" s="4" t="n">
        <v>2023</v>
      </c>
      <c r="H173" s="9" t="n">
        <f aca="false">'Asset-Level Data'!Z23</f>
        <v>0.629</v>
      </c>
      <c r="I173" s="9" t="n">
        <f aca="false">$Q$9</f>
        <v>0.75</v>
      </c>
      <c r="J173" s="4" t="n">
        <v>2026</v>
      </c>
      <c r="K173" s="9" t="n">
        <f aca="false">(H173-F173)/(I173-F173)</f>
        <v>0.688144329896907</v>
      </c>
      <c r="L173" s="9" t="n">
        <f aca="false">H173-I173</f>
        <v>-0.121</v>
      </c>
      <c r="M173" s="4" t="str">
        <f aca="false">IF(K173&gt;=1,"Target Met",IF(K173&gt;=0.75,"On Track",IF(K173&gt;=0.4,"At Risk","Off Track")))</f>
        <v>At Risk</v>
      </c>
    </row>
    <row r="174" customFormat="false" ht="15" hidden="false" customHeight="false" outlineLevel="0" collapsed="false">
      <c r="A174" s="4" t="s">
        <v>185</v>
      </c>
      <c r="B174" s="4" t="s">
        <v>186</v>
      </c>
      <c r="C174" s="4" t="s">
        <v>268</v>
      </c>
      <c r="D174" s="4" t="s">
        <v>264</v>
      </c>
      <c r="E174" s="4" t="s">
        <v>265</v>
      </c>
      <c r="F174" s="9" t="n">
        <v>0.545</v>
      </c>
      <c r="G174" s="4" t="n">
        <v>2023</v>
      </c>
      <c r="H174" s="9" t="n">
        <f aca="false">'Asset-Level Data'!Z24</f>
        <v>0.938</v>
      </c>
      <c r="I174" s="9" t="n">
        <f aca="false">$Q$9</f>
        <v>0.75</v>
      </c>
      <c r="J174" s="4" t="n">
        <v>2026</v>
      </c>
      <c r="K174" s="9" t="n">
        <f aca="false">(H174-F174)/(I174-F174)</f>
        <v>1.91707317073171</v>
      </c>
      <c r="L174" s="9" t="n">
        <f aca="false">H174-I174</f>
        <v>0.188</v>
      </c>
      <c r="M174" s="4" t="str">
        <f aca="false">IF(K174&gt;=1,"Target Met",IF(K174&gt;=0.75,"On Track",IF(K174&gt;=0.4,"At Risk","Off Track")))</f>
        <v>Target Met</v>
      </c>
    </row>
    <row r="175" customFormat="false" ht="15" hidden="false" customHeight="false" outlineLevel="0" collapsed="false">
      <c r="A175" s="4" t="s">
        <v>191</v>
      </c>
      <c r="B175" s="4" t="s">
        <v>192</v>
      </c>
      <c r="C175" s="4" t="s">
        <v>268</v>
      </c>
      <c r="D175" s="4" t="s">
        <v>264</v>
      </c>
      <c r="E175" s="4" t="s">
        <v>265</v>
      </c>
      <c r="F175" s="9" t="n">
        <v>0.456</v>
      </c>
      <c r="G175" s="4" t="n">
        <v>2023</v>
      </c>
      <c r="H175" s="9" t="n">
        <f aca="false">'Asset-Level Data'!Z25</f>
        <v>0.699</v>
      </c>
      <c r="I175" s="9" t="n">
        <f aca="false">$Q$9</f>
        <v>0.75</v>
      </c>
      <c r="J175" s="4" t="n">
        <v>2026</v>
      </c>
      <c r="K175" s="9" t="n">
        <f aca="false">(H175-F175)/(I175-F175)</f>
        <v>0.826530612244898</v>
      </c>
      <c r="L175" s="9" t="n">
        <f aca="false">H175-I175</f>
        <v>-0.051</v>
      </c>
      <c r="M175" s="4" t="str">
        <f aca="false">IF(K175&gt;=1,"Target Met",IF(K175&gt;=0.75,"On Track",IF(K175&gt;=0.4,"At Risk","Off Track")))</f>
        <v>On Track</v>
      </c>
    </row>
    <row r="176" customFormat="false" ht="15" hidden="false" customHeight="false" outlineLevel="0" collapsed="false">
      <c r="A176" s="4" t="s">
        <v>197</v>
      </c>
      <c r="B176" s="4" t="s">
        <v>198</v>
      </c>
      <c r="C176" s="4" t="s">
        <v>268</v>
      </c>
      <c r="D176" s="4" t="s">
        <v>264</v>
      </c>
      <c r="E176" s="4" t="s">
        <v>265</v>
      </c>
      <c r="F176" s="9" t="n">
        <v>0.408</v>
      </c>
      <c r="G176" s="4" t="n">
        <v>2023</v>
      </c>
      <c r="H176" s="9" t="n">
        <f aca="false">'Asset-Level Data'!Z26</f>
        <v>0.649</v>
      </c>
      <c r="I176" s="9" t="n">
        <f aca="false">$Q$9</f>
        <v>0.75</v>
      </c>
      <c r="J176" s="4" t="n">
        <v>2026</v>
      </c>
      <c r="K176" s="9" t="n">
        <f aca="false">(H176-F176)/(I176-F176)</f>
        <v>0.7046783625731</v>
      </c>
      <c r="L176" s="9" t="n">
        <f aca="false">H176-I176</f>
        <v>-0.101</v>
      </c>
      <c r="M176" s="4" t="str">
        <f aca="false">IF(K176&gt;=1,"Target Met",IF(K176&gt;=0.75,"On Track",IF(K176&gt;=0.4,"At Risk","Off Track")))</f>
        <v>At Risk</v>
      </c>
    </row>
    <row r="177" customFormat="false" ht="15" hidden="false" customHeight="false" outlineLevel="0" collapsed="false">
      <c r="A177" s="4" t="s">
        <v>203</v>
      </c>
      <c r="B177" s="4" t="s">
        <v>204</v>
      </c>
      <c r="C177" s="4" t="s">
        <v>268</v>
      </c>
      <c r="D177" s="4" t="s">
        <v>264</v>
      </c>
      <c r="E177" s="4" t="s">
        <v>265</v>
      </c>
      <c r="F177" s="9" t="n">
        <v>0.39</v>
      </c>
      <c r="G177" s="4" t="n">
        <v>2023</v>
      </c>
      <c r="H177" s="9" t="n">
        <f aca="false">'Asset-Level Data'!Z27</f>
        <v>0.482</v>
      </c>
      <c r="I177" s="9" t="n">
        <f aca="false">$Q$9</f>
        <v>0.75</v>
      </c>
      <c r="J177" s="4" t="n">
        <v>2026</v>
      </c>
      <c r="K177" s="9" t="n">
        <f aca="false">(H177-F177)/(I177-F177)</f>
        <v>0.255555555555556</v>
      </c>
      <c r="L177" s="9" t="n">
        <f aca="false">H177-I177</f>
        <v>-0.268</v>
      </c>
      <c r="M177" s="4" t="str">
        <f aca="false">IF(K177&gt;=1,"Target Met",IF(K177&gt;=0.75,"On Track",IF(K177&gt;=0.4,"At Risk","Off Track")))</f>
        <v>Off Track</v>
      </c>
    </row>
    <row r="178" customFormat="false" ht="15" hidden="false" customHeight="false" outlineLevel="0" collapsed="false">
      <c r="A178" s="4" t="s">
        <v>210</v>
      </c>
      <c r="B178" s="4" t="s">
        <v>211</v>
      </c>
      <c r="C178" s="4" t="s">
        <v>268</v>
      </c>
      <c r="D178" s="4" t="s">
        <v>264</v>
      </c>
      <c r="E178" s="4" t="s">
        <v>265</v>
      </c>
      <c r="F178" s="9" t="n">
        <v>0.528</v>
      </c>
      <c r="G178" s="4" t="n">
        <v>2023</v>
      </c>
      <c r="H178" s="9" t="n">
        <f aca="false">'Asset-Level Data'!Z28</f>
        <v>0.836</v>
      </c>
      <c r="I178" s="9" t="n">
        <f aca="false">$Q$9</f>
        <v>0.75</v>
      </c>
      <c r="J178" s="4" t="n">
        <v>2026</v>
      </c>
      <c r="K178" s="9" t="n">
        <f aca="false">(H178-F178)/(I178-F178)</f>
        <v>1.38738738738739</v>
      </c>
      <c r="L178" s="9" t="n">
        <f aca="false">H178-I178</f>
        <v>0.086</v>
      </c>
      <c r="M178" s="4" t="str">
        <f aca="false">IF(K178&gt;=1,"Target Met",IF(K178&gt;=0.75,"On Track",IF(K178&gt;=0.4,"At Risk","Off Track")))</f>
        <v>Target Met</v>
      </c>
    </row>
    <row r="179" customFormat="false" ht="15" hidden="false" customHeight="false" outlineLevel="0" collapsed="false">
      <c r="A179" s="4" t="s">
        <v>216</v>
      </c>
      <c r="B179" s="4" t="s">
        <v>217</v>
      </c>
      <c r="C179" s="4" t="s">
        <v>268</v>
      </c>
      <c r="D179" s="4" t="s">
        <v>264</v>
      </c>
      <c r="E179" s="4" t="s">
        <v>265</v>
      </c>
      <c r="F179" s="9" t="n">
        <v>0.324</v>
      </c>
      <c r="G179" s="4" t="n">
        <v>2023</v>
      </c>
      <c r="H179" s="9" t="n">
        <f aca="false">'Asset-Level Data'!Z29</f>
        <v>0.575</v>
      </c>
      <c r="I179" s="9" t="n">
        <f aca="false">$Q$9</f>
        <v>0.75</v>
      </c>
      <c r="J179" s="4" t="n">
        <v>2026</v>
      </c>
      <c r="K179" s="9" t="n">
        <f aca="false">(H179-F179)/(I179-F179)</f>
        <v>0.589201877934272</v>
      </c>
      <c r="L179" s="9" t="n">
        <f aca="false">H179-I179</f>
        <v>-0.175</v>
      </c>
      <c r="M179" s="4" t="str">
        <f aca="false">IF(K179&gt;=1,"Target Met",IF(K179&gt;=0.75,"On Track",IF(K179&gt;=0.4,"At Risk","Off Track")))</f>
        <v>At Risk</v>
      </c>
    </row>
    <row r="180" customFormat="false" ht="15" hidden="false" customHeight="false" outlineLevel="0" collapsed="false">
      <c r="A180" s="4" t="s">
        <v>222</v>
      </c>
      <c r="B180" s="4" t="s">
        <v>223</v>
      </c>
      <c r="C180" s="4" t="s">
        <v>268</v>
      </c>
      <c r="D180" s="4" t="s">
        <v>264</v>
      </c>
      <c r="E180" s="4" t="s">
        <v>265</v>
      </c>
      <c r="F180" s="9" t="n">
        <v>0.618</v>
      </c>
      <c r="G180" s="4" t="n">
        <v>2023</v>
      </c>
      <c r="H180" s="9" t="n">
        <f aca="false">'Asset-Level Data'!Z30</f>
        <v>0.754</v>
      </c>
      <c r="I180" s="9" t="n">
        <f aca="false">$Q$9</f>
        <v>0.75</v>
      </c>
      <c r="J180" s="4" t="n">
        <v>2026</v>
      </c>
      <c r="K180" s="9" t="n">
        <f aca="false">(H180-F180)/(I180-F180)</f>
        <v>1.03030303030303</v>
      </c>
      <c r="L180" s="9" t="n">
        <f aca="false">H180-I180</f>
        <v>0.004</v>
      </c>
      <c r="M180" s="4" t="str">
        <f aca="false">IF(K180&gt;=1,"Target Met",IF(K180&gt;=0.75,"On Track",IF(K180&gt;=0.4,"At Risk","Off Track")))</f>
        <v>Target Met</v>
      </c>
    </row>
    <row r="181" customFormat="false" ht="15" hidden="false" customHeight="false" outlineLevel="0" collapsed="false">
      <c r="A181" s="4" t="s">
        <v>228</v>
      </c>
      <c r="B181" s="4" t="s">
        <v>229</v>
      </c>
      <c r="C181" s="4" t="s">
        <v>268</v>
      </c>
      <c r="D181" s="4" t="s">
        <v>264</v>
      </c>
      <c r="E181" s="4" t="s">
        <v>265</v>
      </c>
      <c r="F181" s="9" t="n">
        <v>0.533</v>
      </c>
      <c r="G181" s="4" t="n">
        <v>2023</v>
      </c>
      <c r="H181" s="9" t="n">
        <f aca="false">'Asset-Level Data'!Z31</f>
        <v>0.658</v>
      </c>
      <c r="I181" s="9" t="n">
        <f aca="false">$Q$9</f>
        <v>0.75</v>
      </c>
      <c r="J181" s="4" t="n">
        <v>2026</v>
      </c>
      <c r="K181" s="9" t="n">
        <f aca="false">(H181-F181)/(I181-F181)</f>
        <v>0.576036866359447</v>
      </c>
      <c r="L181" s="9" t="n">
        <f aca="false">H181-I181</f>
        <v>-0.092</v>
      </c>
      <c r="M181" s="4" t="str">
        <f aca="false">IF(K181&gt;=1,"Target Met",IF(K181&gt;=0.75,"On Track",IF(K181&gt;=0.4,"At Risk","Off Track")))</f>
        <v>At Risk</v>
      </c>
    </row>
  </sheetData>
  <autoFilter ref="A1:M181"/>
  <mergeCells count="1">
    <mergeCell ref="P10:Q10"/>
  </mergeCells>
  <conditionalFormatting sqref="M2:M181">
    <cfRule type="cellIs" priority="2" operator="equal" aboveAverage="0" equalAverage="0" bottom="0" percent="0" rank="0" text="" dxfId="7">
      <formula>"Target Met"</formula>
    </cfRule>
    <cfRule type="cellIs" priority="3" operator="equal" aboveAverage="0" equalAverage="0" bottom="0" percent="0" rank="0" text="" dxfId="8">
      <formula>"On Track"</formula>
    </cfRule>
    <cfRule type="cellIs" priority="4" operator="equal" aboveAverage="0" equalAverage="0" bottom="0" percent="0" rank="0" text="" dxfId="9">
      <formula>"At Risk"</formula>
    </cfRule>
    <cfRule type="cellIs" priority="5" operator="equal" aboveAverage="0" equalAverage="0" bottom="0" percent="0" rank="0" text="" dxfId="10">
      <formula>"Off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6"/>
    <col collapsed="false" customWidth="true" hidden="false" outlineLevel="0" max="4" min="4" style="0" width="13"/>
    <col collapsed="false" customWidth="true" hidden="false" outlineLevel="0" max="5" min="5" style="0" width="12"/>
    <col collapsed="false" customWidth="true" hidden="false" outlineLevel="0" max="8" min="6" style="0" width="16"/>
    <col collapsed="false" customWidth="true" hidden="false" outlineLevel="0" max="9" min="9" style="0" width="15"/>
    <col collapsed="false" customWidth="true" hidden="false" outlineLevel="0" max="10" min="10" style="0" width="16"/>
    <col collapsed="false" customWidth="true" hidden="false" outlineLevel="0" max="11" min="11" style="0" width="17"/>
    <col collapsed="false" customWidth="true" hidden="false" outlineLevel="0" max="12" min="12" style="0" width="15"/>
    <col collapsed="false" customWidth="true" hidden="false" outlineLevel="0" max="13" min="13" style="0" width="13"/>
    <col collapsed="false" customWidth="true" hidden="false" outlineLevel="0" max="14" min="14" style="0" width="15"/>
    <col collapsed="false" customWidth="true" hidden="false" outlineLevel="0" max="15" min="15" style="0" width="12"/>
    <col collapsed="false" customWidth="true" hidden="false" outlineLevel="0" max="16" min="16" style="0" width="18"/>
    <col collapsed="false" customWidth="true" hidden="false" outlineLevel="0" max="17" min="17" style="0" width="26"/>
    <col collapsed="false" customWidth="true" hidden="false" outlineLevel="0" max="18" min="18" style="0" width="16"/>
    <col collapsed="false" customWidth="true" hidden="false" outlineLevel="0" max="19" min="19" style="0" width="20"/>
    <col collapsed="false" customWidth="true" hidden="false" outlineLevel="0" max="21" min="21" style="0" width="27"/>
    <col collapsed="false" customWidth="true" hidden="false" outlineLevel="0" max="23" min="22" style="0" width="22"/>
  </cols>
  <sheetData>
    <row r="1" customFormat="false" ht="43.5" hidden="false" customHeight="true" outlineLevel="0" collapsed="false">
      <c r="A1" s="2" t="s">
        <v>0</v>
      </c>
      <c r="B1" s="2" t="s">
        <v>1</v>
      </c>
      <c r="C1" s="2" t="s">
        <v>9</v>
      </c>
      <c r="D1" s="2" t="s">
        <v>10</v>
      </c>
      <c r="E1" s="2" t="s">
        <v>269</v>
      </c>
      <c r="F1" s="2" t="s">
        <v>270</v>
      </c>
      <c r="G1" s="2" t="s">
        <v>271</v>
      </c>
      <c r="H1" s="2" t="s">
        <v>272</v>
      </c>
      <c r="I1" s="2" t="s">
        <v>273</v>
      </c>
      <c r="J1" s="2" t="s">
        <v>274</v>
      </c>
      <c r="K1" s="2" t="s">
        <v>275</v>
      </c>
      <c r="L1" s="2" t="s">
        <v>276</v>
      </c>
      <c r="M1" s="2" t="s">
        <v>277</v>
      </c>
      <c r="N1" s="2" t="s">
        <v>278</v>
      </c>
      <c r="O1" s="2" t="s">
        <v>279</v>
      </c>
      <c r="P1" s="2" t="s">
        <v>280</v>
      </c>
      <c r="Q1" s="2" t="s">
        <v>281</v>
      </c>
      <c r="R1" s="2" t="s">
        <v>282</v>
      </c>
      <c r="S1" s="2" t="s">
        <v>283</v>
      </c>
      <c r="U1" s="27" t="s">
        <v>9</v>
      </c>
      <c r="V1" s="27" t="s">
        <v>284</v>
      </c>
      <c r="W1" s="27" t="s">
        <v>285</v>
      </c>
    </row>
    <row r="2" customFormat="false" ht="15" hidden="false" customHeight="false" outlineLevel="0" collapsed="false">
      <c r="A2" s="4" t="s">
        <v>31</v>
      </c>
      <c r="B2" s="4" t="s">
        <v>32</v>
      </c>
      <c r="C2" s="4" t="s">
        <v>37</v>
      </c>
      <c r="D2" s="7" t="n">
        <f aca="false">'Asset-Level Data'!K2</f>
        <v>80000</v>
      </c>
      <c r="E2" s="4" t="str">
        <f aca="false">IF(D2&gt;=25000,"Yes","No")</f>
        <v>Yes</v>
      </c>
      <c r="F2" s="28" t="n">
        <f aca="false">'Asset-Level Data'!P2+'Asset-Level Data'!Q2</f>
        <v>527.13076</v>
      </c>
      <c r="G2" s="28" t="n">
        <f aca="false">D2*VLOOKUP(C2,$U$2:$W$8,2,FALSE())</f>
        <v>407.2</v>
      </c>
      <c r="H2" s="28" t="n">
        <f aca="false">F2-G2</f>
        <v>119.93076</v>
      </c>
      <c r="I2" s="29" t="n">
        <f aca="false">MAX(0,H2)*$V$11</f>
        <v>32141.44368</v>
      </c>
      <c r="J2" s="28" t="n">
        <f aca="false">D2*VLOOKUP(C2,$U$2:$W$8,3,FALSE())</f>
        <v>252</v>
      </c>
      <c r="K2" s="28" t="n">
        <f aca="false">F2-J2</f>
        <v>275.13076</v>
      </c>
      <c r="L2" s="29" t="n">
        <f aca="false">MAX(0,K2)*$V$11</f>
        <v>73735.04368</v>
      </c>
      <c r="M2" s="4" t="s">
        <v>286</v>
      </c>
      <c r="N2" s="30" t="n">
        <f aca="false">$V$13</f>
        <v>46508</v>
      </c>
      <c r="O2" s="10" t="n">
        <f aca="true">N2-TODAY()</f>
        <v>265</v>
      </c>
      <c r="P2" s="29" t="n">
        <f aca="false">D2*$V$12</f>
        <v>40000</v>
      </c>
      <c r="Q2" s="31" t="s">
        <v>287</v>
      </c>
      <c r="R2" s="4" t="str">
        <f aca="false">IF(H2&lt;=0,"Compliant",IF(H2/G2&lt;=0.1,"At Risk","Non-Compliant"))</f>
        <v>Non-Compliant</v>
      </c>
      <c r="S2" s="4" t="str">
        <f aca="false">IF(K2&lt;=0,"Compliant",IF(K2/J2&lt;=0.1,"At Risk","Non-Compliant"))</f>
        <v>Non-Compliant</v>
      </c>
      <c r="U2" s="25" t="s">
        <v>87</v>
      </c>
      <c r="V2" s="26" t="n">
        <v>0.00206</v>
      </c>
      <c r="W2" s="26" t="n">
        <v>0.00128</v>
      </c>
    </row>
    <row r="3" customFormat="false" ht="15" hidden="false" customHeight="false" outlineLevel="0" collapsed="false">
      <c r="A3" s="4" t="s">
        <v>44</v>
      </c>
      <c r="B3" s="4" t="s">
        <v>45</v>
      </c>
      <c r="C3" s="4" t="s">
        <v>49</v>
      </c>
      <c r="D3" s="7" t="n">
        <f aca="false">'Asset-Level Data'!K3</f>
        <v>339000</v>
      </c>
      <c r="E3" s="4" t="str">
        <f aca="false">IF(D3&gt;=25000,"Yes","No")</f>
        <v>Yes</v>
      </c>
      <c r="F3" s="28" t="n">
        <f aca="false">'Asset-Level Data'!P3+'Asset-Level Data'!Q3</f>
        <v>824.10586</v>
      </c>
      <c r="G3" s="28" t="n">
        <f aca="false">D3*VLOOKUP(C3,$U$2:$W$8,2,FALSE())</f>
        <v>993.27</v>
      </c>
      <c r="H3" s="28" t="n">
        <f aca="false">F3-G3</f>
        <v>-169.16414</v>
      </c>
      <c r="I3" s="29" t="n">
        <f aca="false">MAX(0,H3)*$V$11</f>
        <v>0</v>
      </c>
      <c r="J3" s="28" t="n">
        <f aca="false">D3*VLOOKUP(C3,$U$2:$W$8,3,FALSE())</f>
        <v>616.98</v>
      </c>
      <c r="K3" s="28" t="n">
        <f aca="false">F3-J3</f>
        <v>207.12586</v>
      </c>
      <c r="L3" s="29" t="n">
        <f aca="false">MAX(0,K3)*$V$11</f>
        <v>55509.73048</v>
      </c>
      <c r="M3" s="4" t="s">
        <v>288</v>
      </c>
      <c r="N3" s="30" t="n">
        <f aca="false">$V$13</f>
        <v>46508</v>
      </c>
      <c r="O3" s="10" t="n">
        <f aca="true">N3-TODAY()</f>
        <v>265</v>
      </c>
      <c r="P3" s="29" t="n">
        <f aca="false">D3*$V$12</f>
        <v>169500</v>
      </c>
      <c r="Q3" s="31" t="s">
        <v>287</v>
      </c>
      <c r="R3" s="4" t="str">
        <f aca="false">IF(H3&lt;=0,"Compliant",IF(H3/G3&lt;=0.1,"At Risk","Non-Compliant"))</f>
        <v>Compliant</v>
      </c>
      <c r="S3" s="4" t="str">
        <f aca="false">IF(K3&lt;=0,"Compliant",IF(K3/J3&lt;=0.1,"At Risk","Non-Compliant"))</f>
        <v>Non-Compliant</v>
      </c>
      <c r="U3" s="25" t="s">
        <v>37</v>
      </c>
      <c r="V3" s="26" t="n">
        <v>0.00509</v>
      </c>
      <c r="W3" s="26" t="n">
        <v>0.00315</v>
      </c>
    </row>
    <row r="4" customFormat="false" ht="15" hidden="false" customHeight="false" outlineLevel="0" collapsed="false">
      <c r="A4" s="4" t="s">
        <v>54</v>
      </c>
      <c r="B4" s="4" t="s">
        <v>55</v>
      </c>
      <c r="C4" s="4" t="s">
        <v>59</v>
      </c>
      <c r="D4" s="7" t="n">
        <f aca="false">'Asset-Level Data'!K4</f>
        <v>293000</v>
      </c>
      <c r="E4" s="4" t="str">
        <f aca="false">IF(D4&gt;=25000,"Yes","No")</f>
        <v>Yes</v>
      </c>
      <c r="F4" s="28" t="n">
        <f aca="false">'Asset-Level Data'!P4+'Asset-Level Data'!Q4</f>
        <v>987.60002</v>
      </c>
      <c r="G4" s="28" t="n">
        <f aca="false">D4*VLOOKUP(C4,$U$2:$W$8,2,FALSE())</f>
        <v>823.33</v>
      </c>
      <c r="H4" s="28" t="n">
        <f aca="false">F4-G4</f>
        <v>164.27002</v>
      </c>
      <c r="I4" s="29" t="n">
        <f aca="false">MAX(0,H4)*$V$11</f>
        <v>44024.36536</v>
      </c>
      <c r="J4" s="28" t="n">
        <f aca="false">D4*VLOOKUP(C4,$U$2:$W$8,3,FALSE())</f>
        <v>509.82</v>
      </c>
      <c r="K4" s="28" t="n">
        <f aca="false">F4-J4</f>
        <v>477.78002</v>
      </c>
      <c r="L4" s="29" t="n">
        <f aca="false">MAX(0,K4)*$V$11</f>
        <v>128045.04536</v>
      </c>
      <c r="M4" s="4" t="s">
        <v>289</v>
      </c>
      <c r="N4" s="30" t="n">
        <f aca="false">$V$13</f>
        <v>46508</v>
      </c>
      <c r="O4" s="10" t="n">
        <f aca="true">N4-TODAY()</f>
        <v>265</v>
      </c>
      <c r="P4" s="29" t="n">
        <f aca="false">D4*$V$12</f>
        <v>146500</v>
      </c>
      <c r="Q4" s="31" t="s">
        <v>287</v>
      </c>
      <c r="R4" s="4" t="str">
        <f aca="false">IF(H4&lt;=0,"Compliant",IF(H4/G4&lt;=0.1,"At Risk","Non-Compliant"))</f>
        <v>Non-Compliant</v>
      </c>
      <c r="S4" s="4" t="str">
        <f aca="false">IF(K4&lt;=0,"Compliant",IF(K4/J4&lt;=0.1,"At Risk","Non-Compliant"))</f>
        <v>Non-Compliant</v>
      </c>
      <c r="U4" s="25" t="s">
        <v>49</v>
      </c>
      <c r="V4" s="26" t="n">
        <v>0.00293</v>
      </c>
      <c r="W4" s="26" t="n">
        <v>0.00182</v>
      </c>
    </row>
    <row r="5" customFormat="false" ht="15" hidden="false" customHeight="false" outlineLevel="0" collapsed="false">
      <c r="A5" s="4" t="s">
        <v>63</v>
      </c>
      <c r="B5" s="4" t="s">
        <v>64</v>
      </c>
      <c r="C5" s="4" t="s">
        <v>68</v>
      </c>
      <c r="D5" s="7" t="n">
        <f aca="false">'Asset-Level Data'!K5</f>
        <v>289000</v>
      </c>
      <c r="E5" s="4" t="str">
        <f aca="false">IF(D5&gt;=25000,"Yes","No")</f>
        <v>Yes</v>
      </c>
      <c r="F5" s="28" t="n">
        <f aca="false">'Asset-Level Data'!P5+'Asset-Level Data'!Q5</f>
        <v>721.12016</v>
      </c>
      <c r="G5" s="28" t="n">
        <f aca="false">D5*VLOOKUP(C5,$U$2:$W$8,2,FALSE())</f>
        <v>930.58</v>
      </c>
      <c r="H5" s="28" t="n">
        <f aca="false">F5-G5</f>
        <v>-209.45984</v>
      </c>
      <c r="I5" s="29" t="n">
        <f aca="false">MAX(0,H5)*$V$11</f>
        <v>0</v>
      </c>
      <c r="J5" s="28" t="n">
        <f aca="false">D5*VLOOKUP(C5,$U$2:$W$8,3,FALSE())</f>
        <v>578</v>
      </c>
      <c r="K5" s="28" t="n">
        <f aca="false">F5-J5</f>
        <v>143.12016</v>
      </c>
      <c r="L5" s="29" t="n">
        <f aca="false">MAX(0,K5)*$V$11</f>
        <v>38356.20288</v>
      </c>
      <c r="M5" s="4" t="s">
        <v>286</v>
      </c>
      <c r="N5" s="30" t="n">
        <f aca="false">$V$13</f>
        <v>46508</v>
      </c>
      <c r="O5" s="10" t="n">
        <f aca="true">N5-TODAY()</f>
        <v>265</v>
      </c>
      <c r="P5" s="29" t="n">
        <f aca="false">D5*$V$12</f>
        <v>144500</v>
      </c>
      <c r="Q5" s="31" t="s">
        <v>287</v>
      </c>
      <c r="R5" s="4" t="str">
        <f aca="false">IF(H5&lt;=0,"Compliant",IF(H5/G5&lt;=0.1,"At Risk","Non-Compliant"))</f>
        <v>Compliant</v>
      </c>
      <c r="S5" s="4" t="str">
        <f aca="false">IF(K5&lt;=0,"Compliant",IF(K5/J5&lt;=0.1,"At Risk","Non-Compliant"))</f>
        <v>Non-Compliant</v>
      </c>
      <c r="U5" s="25" t="s">
        <v>59</v>
      </c>
      <c r="V5" s="26" t="n">
        <v>0.00281</v>
      </c>
      <c r="W5" s="26" t="n">
        <v>0.00174</v>
      </c>
    </row>
    <row r="6" customFormat="false" ht="23.85" hidden="false" customHeight="false" outlineLevel="0" collapsed="false">
      <c r="A6" s="4" t="s">
        <v>72</v>
      </c>
      <c r="B6" s="4" t="s">
        <v>73</v>
      </c>
      <c r="C6" s="4" t="s">
        <v>77</v>
      </c>
      <c r="D6" s="7" t="n">
        <f aca="false">'Asset-Level Data'!K6</f>
        <v>279000</v>
      </c>
      <c r="E6" s="4" t="str">
        <f aca="false">IF(D6&gt;=25000,"Yes","No")</f>
        <v>Yes</v>
      </c>
      <c r="F6" s="28" t="n">
        <f aca="false">'Asset-Level Data'!P6+'Asset-Level Data'!Q6</f>
        <v>757.94096</v>
      </c>
      <c r="G6" s="28" t="n">
        <f aca="false">D6*VLOOKUP(C6,$U$2:$W$8,2,FALSE())</f>
        <v>1037.88</v>
      </c>
      <c r="H6" s="28" t="n">
        <f aca="false">F6-G6</f>
        <v>-279.93904</v>
      </c>
      <c r="I6" s="29" t="n">
        <f aca="false">MAX(0,H6)*$V$11</f>
        <v>0</v>
      </c>
      <c r="J6" s="28" t="n">
        <f aca="false">D6*VLOOKUP(C6,$U$2:$W$8,3,FALSE())</f>
        <v>644.49</v>
      </c>
      <c r="K6" s="28" t="n">
        <f aca="false">F6-J6</f>
        <v>113.45096</v>
      </c>
      <c r="L6" s="29" t="n">
        <f aca="false">MAX(0,K6)*$V$11</f>
        <v>30404.85728</v>
      </c>
      <c r="M6" s="4" t="s">
        <v>286</v>
      </c>
      <c r="N6" s="30" t="n">
        <f aca="false">$V$13</f>
        <v>46508</v>
      </c>
      <c r="O6" s="10" t="n">
        <f aca="true">N6-TODAY()</f>
        <v>265</v>
      </c>
      <c r="P6" s="29" t="n">
        <f aca="false">D6*$V$12</f>
        <v>139500</v>
      </c>
      <c r="Q6" s="31" t="s">
        <v>290</v>
      </c>
      <c r="R6" s="4" t="str">
        <f aca="false">IF(H6&lt;=0,"Compliant",IF(H6/G6&lt;=0.1,"At Risk","Non-Compliant"))</f>
        <v>Compliant</v>
      </c>
      <c r="S6" s="4" t="str">
        <f aca="false">IF(K6&lt;=0,"Compliant",IF(K6/J6&lt;=0.1,"At Risk","Non-Compliant"))</f>
        <v>Non-Compliant</v>
      </c>
      <c r="U6" s="25" t="s">
        <v>68</v>
      </c>
      <c r="V6" s="26" t="n">
        <v>0.00322</v>
      </c>
      <c r="W6" s="26" t="n">
        <v>0.002</v>
      </c>
    </row>
    <row r="7" customFormat="false" ht="23.85" hidden="false" customHeight="false" outlineLevel="0" collapsed="false">
      <c r="A7" s="4" t="s">
        <v>82</v>
      </c>
      <c r="B7" s="4" t="s">
        <v>83</v>
      </c>
      <c r="C7" s="4" t="s">
        <v>87</v>
      </c>
      <c r="D7" s="7" t="n">
        <f aca="false">'Asset-Level Data'!K7</f>
        <v>711000</v>
      </c>
      <c r="E7" s="4" t="str">
        <f aca="false">IF(D7&gt;=25000,"Yes","No")</f>
        <v>Yes</v>
      </c>
      <c r="F7" s="28" t="n">
        <f aca="false">'Asset-Level Data'!P7+'Asset-Level Data'!Q7</f>
        <v>1352.91436</v>
      </c>
      <c r="G7" s="28" t="n">
        <f aca="false">D7*VLOOKUP(C7,$U$2:$W$8,2,FALSE())</f>
        <v>1464.66</v>
      </c>
      <c r="H7" s="28" t="n">
        <f aca="false">F7-G7</f>
        <v>-111.74564</v>
      </c>
      <c r="I7" s="29" t="n">
        <f aca="false">MAX(0,H7)*$V$11</f>
        <v>0</v>
      </c>
      <c r="J7" s="28" t="n">
        <f aca="false">D7*VLOOKUP(C7,$U$2:$W$8,3,FALSE())</f>
        <v>910.08</v>
      </c>
      <c r="K7" s="28" t="n">
        <f aca="false">F7-J7</f>
        <v>442.83436</v>
      </c>
      <c r="L7" s="29" t="n">
        <f aca="false">MAX(0,K7)*$V$11</f>
        <v>118679.60848</v>
      </c>
      <c r="M7" s="4" t="s">
        <v>286</v>
      </c>
      <c r="N7" s="30" t="n">
        <f aca="false">$V$13</f>
        <v>46508</v>
      </c>
      <c r="O7" s="10" t="n">
        <f aca="true">N7-TODAY()</f>
        <v>265</v>
      </c>
      <c r="P7" s="29" t="n">
        <f aca="false">D7*$V$12</f>
        <v>355500</v>
      </c>
      <c r="Q7" s="31" t="s">
        <v>290</v>
      </c>
      <c r="R7" s="4" t="str">
        <f aca="false">IF(H7&lt;=0,"Compliant",IF(H7/G7&lt;=0.1,"At Risk","Non-Compliant"))</f>
        <v>Compliant</v>
      </c>
      <c r="S7" s="4" t="str">
        <f aca="false">IF(K7&lt;=0,"Compliant",IF(K7/J7&lt;=0.1,"At Risk","Non-Compliant"))</f>
        <v>Non-Compliant</v>
      </c>
      <c r="U7" s="25" t="s">
        <v>77</v>
      </c>
      <c r="V7" s="26" t="n">
        <v>0.00372</v>
      </c>
      <c r="W7" s="26" t="n">
        <v>0.00231</v>
      </c>
    </row>
    <row r="8" customFormat="false" ht="15" hidden="false" customHeight="false" outlineLevel="0" collapsed="false">
      <c r="A8" s="4" t="s">
        <v>89</v>
      </c>
      <c r="B8" s="4" t="s">
        <v>90</v>
      </c>
      <c r="C8" s="4" t="s">
        <v>37</v>
      </c>
      <c r="D8" s="7" t="n">
        <f aca="false">'Asset-Level Data'!K8</f>
        <v>74000</v>
      </c>
      <c r="E8" s="4" t="str">
        <f aca="false">IF(D8&gt;=25000,"Yes","No")</f>
        <v>Yes</v>
      </c>
      <c r="F8" s="28" t="n">
        <f aca="false">'Asset-Level Data'!P8+'Asset-Level Data'!Q8</f>
        <v>445.90256</v>
      </c>
      <c r="G8" s="28" t="n">
        <f aca="false">D8*VLOOKUP(C8,$U$2:$W$8,2,FALSE())</f>
        <v>376.66</v>
      </c>
      <c r="H8" s="28" t="n">
        <f aca="false">F8-G8</f>
        <v>69.24256</v>
      </c>
      <c r="I8" s="29" t="n">
        <f aca="false">MAX(0,H8)*$V$11</f>
        <v>18557.00608</v>
      </c>
      <c r="J8" s="28" t="n">
        <f aca="false">D8*VLOOKUP(C8,$U$2:$W$8,3,FALSE())</f>
        <v>233.1</v>
      </c>
      <c r="K8" s="28" t="n">
        <f aca="false">F8-J8</f>
        <v>212.80256</v>
      </c>
      <c r="L8" s="29" t="n">
        <f aca="false">MAX(0,K8)*$V$11</f>
        <v>57031.08608</v>
      </c>
      <c r="M8" s="4" t="s">
        <v>286</v>
      </c>
      <c r="N8" s="30" t="n">
        <f aca="false">$V$13</f>
        <v>46508</v>
      </c>
      <c r="O8" s="10" t="n">
        <f aca="true">N8-TODAY()</f>
        <v>265</v>
      </c>
      <c r="P8" s="29" t="n">
        <f aca="false">D8*$V$12</f>
        <v>37000</v>
      </c>
      <c r="Q8" s="31" t="s">
        <v>287</v>
      </c>
      <c r="R8" s="4" t="str">
        <f aca="false">IF(H8&lt;=0,"Compliant",IF(H8/G8&lt;=0.1,"At Risk","Non-Compliant"))</f>
        <v>Non-Compliant</v>
      </c>
      <c r="S8" s="4" t="str">
        <f aca="false">IF(K8&lt;=0,"Compliant",IF(K8/J8&lt;=0.1,"At Risk","Non-Compliant"))</f>
        <v>Non-Compliant</v>
      </c>
      <c r="U8" s="25" t="s">
        <v>208</v>
      </c>
      <c r="V8" s="26" t="n">
        <v>0.0041</v>
      </c>
      <c r="W8" s="26" t="n">
        <v>0.00254</v>
      </c>
    </row>
    <row r="9" customFormat="false" ht="23.85" hidden="false" customHeight="false" outlineLevel="0" collapsed="false">
      <c r="A9" s="4" t="s">
        <v>95</v>
      </c>
      <c r="B9" s="4" t="s">
        <v>96</v>
      </c>
      <c r="C9" s="4" t="s">
        <v>49</v>
      </c>
      <c r="D9" s="7" t="n">
        <f aca="false">'Asset-Level Data'!K9</f>
        <v>374000</v>
      </c>
      <c r="E9" s="4" t="str">
        <f aca="false">IF(D9&gt;=25000,"Yes","No")</f>
        <v>Yes</v>
      </c>
      <c r="F9" s="28" t="n">
        <f aca="false">'Asset-Level Data'!P9+'Asset-Level Data'!Q9</f>
        <v>905.40122</v>
      </c>
      <c r="G9" s="28" t="n">
        <f aca="false">D9*VLOOKUP(C9,$U$2:$W$8,2,FALSE())</f>
        <v>1095.82</v>
      </c>
      <c r="H9" s="28" t="n">
        <f aca="false">F9-G9</f>
        <v>-190.41878</v>
      </c>
      <c r="I9" s="29" t="n">
        <f aca="false">MAX(0,H9)*$V$11</f>
        <v>0</v>
      </c>
      <c r="J9" s="28" t="n">
        <f aca="false">D9*VLOOKUP(C9,$U$2:$W$8,3,FALSE())</f>
        <v>680.68</v>
      </c>
      <c r="K9" s="28" t="n">
        <f aca="false">F9-J9</f>
        <v>224.72122</v>
      </c>
      <c r="L9" s="29" t="n">
        <f aca="false">MAX(0,K9)*$V$11</f>
        <v>60225.28696</v>
      </c>
      <c r="M9" s="4" t="s">
        <v>286</v>
      </c>
      <c r="N9" s="30" t="n">
        <f aca="false">$V$13</f>
        <v>46508</v>
      </c>
      <c r="O9" s="10" t="n">
        <f aca="true">N9-TODAY()</f>
        <v>265</v>
      </c>
      <c r="P9" s="29" t="n">
        <f aca="false">D9*$V$12</f>
        <v>187000</v>
      </c>
      <c r="Q9" s="31" t="s">
        <v>291</v>
      </c>
      <c r="R9" s="4" t="str">
        <f aca="false">IF(H9&lt;=0,"Compliant",IF(H9/G9&lt;=0.1,"At Risk","Non-Compliant"))</f>
        <v>Compliant</v>
      </c>
      <c r="S9" s="4" t="str">
        <f aca="false">IF(K9&lt;=0,"Compliant",IF(K9/J9&lt;=0.1,"At Risk","Non-Compliant"))</f>
        <v>Non-Compliant</v>
      </c>
    </row>
    <row r="10" customFormat="false" ht="15" hidden="false" customHeight="false" outlineLevel="0" collapsed="false">
      <c r="A10" s="4" t="s">
        <v>101</v>
      </c>
      <c r="B10" s="4" t="s">
        <v>102</v>
      </c>
      <c r="C10" s="4" t="s">
        <v>59</v>
      </c>
      <c r="D10" s="7" t="n">
        <f aca="false">'Asset-Level Data'!K10</f>
        <v>581000</v>
      </c>
      <c r="E10" s="4" t="str">
        <f aca="false">IF(D10&gt;=25000,"Yes","No")</f>
        <v>Yes</v>
      </c>
      <c r="F10" s="28" t="n">
        <f aca="false">'Asset-Level Data'!P10+'Asset-Level Data'!Q10</f>
        <v>1197.40836</v>
      </c>
      <c r="G10" s="28" t="n">
        <f aca="false">D10*VLOOKUP(C10,$U$2:$W$8,2,FALSE())</f>
        <v>1632.61</v>
      </c>
      <c r="H10" s="28" t="n">
        <f aca="false">F10-G10</f>
        <v>-435.20164</v>
      </c>
      <c r="I10" s="29" t="n">
        <f aca="false">MAX(0,H10)*$V$11</f>
        <v>0</v>
      </c>
      <c r="J10" s="28" t="n">
        <f aca="false">D10*VLOOKUP(C10,$U$2:$W$8,3,FALSE())</f>
        <v>1010.94</v>
      </c>
      <c r="K10" s="28" t="n">
        <f aca="false">F10-J10</f>
        <v>186.46836</v>
      </c>
      <c r="L10" s="29" t="n">
        <f aca="false">MAX(0,K10)*$V$11</f>
        <v>49973.52048</v>
      </c>
      <c r="M10" s="4" t="s">
        <v>286</v>
      </c>
      <c r="N10" s="30" t="n">
        <f aca="false">$V$13</f>
        <v>46508</v>
      </c>
      <c r="O10" s="10" t="n">
        <f aca="true">N10-TODAY()</f>
        <v>265</v>
      </c>
      <c r="P10" s="29" t="n">
        <f aca="false">D10*$V$12</f>
        <v>290500</v>
      </c>
      <c r="Q10" s="31" t="s">
        <v>287</v>
      </c>
      <c r="R10" s="4" t="str">
        <f aca="false">IF(H10&lt;=0,"Compliant",IF(H10/G10&lt;=0.1,"At Risk","Non-Compliant"))</f>
        <v>Compliant</v>
      </c>
      <c r="S10" s="4" t="str">
        <f aca="false">IF(K10&lt;=0,"Compliant",IF(K10/J10&lt;=0.1,"At Risk","Non-Compliant"))</f>
        <v>Non-Compliant</v>
      </c>
      <c r="U10" s="32" t="s">
        <v>30</v>
      </c>
    </row>
    <row r="11" customFormat="false" ht="23.85" hidden="false" customHeight="false" outlineLevel="0" collapsed="false">
      <c r="A11" s="4" t="s">
        <v>106</v>
      </c>
      <c r="B11" s="4" t="s">
        <v>107</v>
      </c>
      <c r="C11" s="4" t="s">
        <v>68</v>
      </c>
      <c r="D11" s="7" t="n">
        <f aca="false">'Asset-Level Data'!K11</f>
        <v>309000</v>
      </c>
      <c r="E11" s="4" t="str">
        <f aca="false">IF(D11&gt;=25000,"Yes","No")</f>
        <v>Yes</v>
      </c>
      <c r="F11" s="28" t="n">
        <f aca="false">'Asset-Level Data'!P11+'Asset-Level Data'!Q11</f>
        <v>1079.31704</v>
      </c>
      <c r="G11" s="28" t="n">
        <f aca="false">D11*VLOOKUP(C11,$U$2:$W$8,2,FALSE())</f>
        <v>994.98</v>
      </c>
      <c r="H11" s="28" t="n">
        <f aca="false">F11-G11</f>
        <v>84.3370400000001</v>
      </c>
      <c r="I11" s="29" t="n">
        <f aca="false">MAX(0,H11)*$V$11</f>
        <v>22602.32672</v>
      </c>
      <c r="J11" s="28" t="n">
        <f aca="false">D11*VLOOKUP(C11,$U$2:$W$8,3,FALSE())</f>
        <v>618</v>
      </c>
      <c r="K11" s="28" t="n">
        <f aca="false">F11-J11</f>
        <v>461.31704</v>
      </c>
      <c r="L11" s="29" t="n">
        <f aca="false">MAX(0,K11)*$V$11</f>
        <v>123632.96672</v>
      </c>
      <c r="M11" s="4" t="s">
        <v>286</v>
      </c>
      <c r="N11" s="30" t="n">
        <f aca="false">$V$13</f>
        <v>46508</v>
      </c>
      <c r="O11" s="10" t="n">
        <f aca="true">N11-TODAY()</f>
        <v>265</v>
      </c>
      <c r="P11" s="29" t="n">
        <f aca="false">D11*$V$12</f>
        <v>154500</v>
      </c>
      <c r="Q11" s="31" t="s">
        <v>291</v>
      </c>
      <c r="R11" s="4" t="str">
        <f aca="false">IF(H11&lt;=0,"Compliant",IF(H11/G11&lt;=0.1,"At Risk","Non-Compliant"))</f>
        <v>At Risk</v>
      </c>
      <c r="S11" s="4" t="str">
        <f aca="false">IF(K11&lt;=0,"Compliant",IF(K11/J11&lt;=0.1,"At Risk","Non-Compliant"))</f>
        <v>Non-Compliant</v>
      </c>
      <c r="U11" s="25" t="s">
        <v>292</v>
      </c>
      <c r="V11" s="26" t="n">
        <v>268</v>
      </c>
    </row>
    <row r="12" customFormat="false" ht="23.85" hidden="false" customHeight="false" outlineLevel="0" collapsed="false">
      <c r="A12" s="4" t="s">
        <v>112</v>
      </c>
      <c r="B12" s="4" t="s">
        <v>113</v>
      </c>
      <c r="C12" s="4" t="s">
        <v>77</v>
      </c>
      <c r="D12" s="7" t="n">
        <f aca="false">'Asset-Level Data'!K12</f>
        <v>57000</v>
      </c>
      <c r="E12" s="4" t="str">
        <f aca="false">IF(D12&gt;=25000,"Yes","No")</f>
        <v>Yes</v>
      </c>
      <c r="F12" s="28" t="n">
        <f aca="false">'Asset-Level Data'!P12+'Asset-Level Data'!Q12</f>
        <v>252.10384</v>
      </c>
      <c r="G12" s="28" t="n">
        <f aca="false">D12*VLOOKUP(C12,$U$2:$W$8,2,FALSE())</f>
        <v>212.04</v>
      </c>
      <c r="H12" s="28" t="n">
        <f aca="false">F12-G12</f>
        <v>40.06384</v>
      </c>
      <c r="I12" s="29" t="n">
        <f aca="false">MAX(0,H12)*$V$11</f>
        <v>10737.10912</v>
      </c>
      <c r="J12" s="28" t="n">
        <f aca="false">D12*VLOOKUP(C12,$U$2:$W$8,3,FALSE())</f>
        <v>131.67</v>
      </c>
      <c r="K12" s="28" t="n">
        <f aca="false">F12-J12</f>
        <v>120.43384</v>
      </c>
      <c r="L12" s="29" t="n">
        <f aca="false">MAX(0,K12)*$V$11</f>
        <v>32276.26912</v>
      </c>
      <c r="M12" s="4" t="s">
        <v>286</v>
      </c>
      <c r="N12" s="30" t="n">
        <f aca="false">$V$13</f>
        <v>46508</v>
      </c>
      <c r="O12" s="10" t="n">
        <f aca="true">N12-TODAY()</f>
        <v>265</v>
      </c>
      <c r="P12" s="29" t="n">
        <f aca="false">D12*$V$12</f>
        <v>28500</v>
      </c>
      <c r="Q12" s="31" t="s">
        <v>290</v>
      </c>
      <c r="R12" s="4" t="str">
        <f aca="false">IF(H12&lt;=0,"Compliant",IF(H12/G12&lt;=0.1,"At Risk","Non-Compliant"))</f>
        <v>Non-Compliant</v>
      </c>
      <c r="S12" s="4" t="str">
        <f aca="false">IF(K12&lt;=0,"Compliant",IF(K12/J12&lt;=0.1,"At Risk","Non-Compliant"))</f>
        <v>Non-Compliant</v>
      </c>
      <c r="U12" s="25" t="s">
        <v>293</v>
      </c>
      <c r="V12" s="26" t="n">
        <v>0.5</v>
      </c>
    </row>
    <row r="13" customFormat="false" ht="23.85" hidden="false" customHeight="false" outlineLevel="0" collapsed="false">
      <c r="A13" s="4" t="s">
        <v>119</v>
      </c>
      <c r="B13" s="4" t="s">
        <v>120</v>
      </c>
      <c r="C13" s="4" t="s">
        <v>87</v>
      </c>
      <c r="D13" s="7" t="n">
        <f aca="false">'Asset-Level Data'!K13</f>
        <v>543000</v>
      </c>
      <c r="E13" s="4" t="str">
        <f aca="false">IF(D13&gt;=25000,"Yes","No")</f>
        <v>Yes</v>
      </c>
      <c r="F13" s="28" t="n">
        <f aca="false">'Asset-Level Data'!P13+'Asset-Level Data'!Q13</f>
        <v>1118.14454</v>
      </c>
      <c r="G13" s="28" t="n">
        <f aca="false">D13*VLOOKUP(C13,$U$2:$W$8,2,FALSE())</f>
        <v>1118.58</v>
      </c>
      <c r="H13" s="28" t="n">
        <f aca="false">F13-G13</f>
        <v>-0.435460000000148</v>
      </c>
      <c r="I13" s="29" t="n">
        <f aca="false">MAX(0,H13)*$V$11</f>
        <v>0</v>
      </c>
      <c r="J13" s="28" t="n">
        <f aca="false">D13*VLOOKUP(C13,$U$2:$W$8,3,FALSE())</f>
        <v>695.04</v>
      </c>
      <c r="K13" s="28" t="n">
        <f aca="false">F13-J13</f>
        <v>423.10454</v>
      </c>
      <c r="L13" s="29" t="n">
        <f aca="false">MAX(0,K13)*$V$11</f>
        <v>113392.01672</v>
      </c>
      <c r="M13" s="4" t="s">
        <v>286</v>
      </c>
      <c r="N13" s="30" t="n">
        <f aca="false">$V$13</f>
        <v>46508</v>
      </c>
      <c r="O13" s="10" t="n">
        <f aca="true">N13-TODAY()</f>
        <v>265</v>
      </c>
      <c r="P13" s="29" t="n">
        <f aca="false">D13*$V$12</f>
        <v>271500</v>
      </c>
      <c r="Q13" s="31" t="s">
        <v>290</v>
      </c>
      <c r="R13" s="4" t="str">
        <f aca="false">IF(H13&lt;=0,"Compliant",IF(H13/G13&lt;=0.1,"At Risk","Non-Compliant"))</f>
        <v>Compliant</v>
      </c>
      <c r="S13" s="4" t="str">
        <f aca="false">IF(K13&lt;=0,"Compliant",IF(K13/J13&lt;=0.1,"At Risk","Non-Compliant"))</f>
        <v>Non-Compliant</v>
      </c>
      <c r="U13" s="25" t="s">
        <v>294</v>
      </c>
      <c r="V13" s="33" t="n">
        <v>46508</v>
      </c>
    </row>
    <row r="14" customFormat="false" ht="15" hidden="false" customHeight="false" outlineLevel="0" collapsed="false">
      <c r="A14" s="4" t="s">
        <v>125</v>
      </c>
      <c r="B14" s="4" t="s">
        <v>126</v>
      </c>
      <c r="C14" s="4" t="s">
        <v>37</v>
      </c>
      <c r="D14" s="7" t="n">
        <f aca="false">'Asset-Level Data'!K14</f>
        <v>299000</v>
      </c>
      <c r="E14" s="4" t="str">
        <f aca="false">IF(D14&gt;=25000,"Yes","No")</f>
        <v>Yes</v>
      </c>
      <c r="F14" s="28" t="n">
        <f aca="false">'Asset-Level Data'!P14+'Asset-Level Data'!Q14</f>
        <v>1520.83188</v>
      </c>
      <c r="G14" s="28" t="n">
        <f aca="false">D14*VLOOKUP(C14,$U$2:$W$8,2,FALSE())</f>
        <v>1521.91</v>
      </c>
      <c r="H14" s="28" t="n">
        <f aca="false">F14-G14</f>
        <v>-1.0781199999999</v>
      </c>
      <c r="I14" s="29" t="n">
        <f aca="false">MAX(0,H14)*$V$11</f>
        <v>0</v>
      </c>
      <c r="J14" s="28" t="n">
        <f aca="false">D14*VLOOKUP(C14,$U$2:$W$8,3,FALSE())</f>
        <v>941.85</v>
      </c>
      <c r="K14" s="28" t="n">
        <f aca="false">F14-J14</f>
        <v>578.98188</v>
      </c>
      <c r="L14" s="29" t="n">
        <f aca="false">MAX(0,K14)*$V$11</f>
        <v>155167.14384</v>
      </c>
      <c r="M14" s="4" t="s">
        <v>286</v>
      </c>
      <c r="N14" s="30" t="n">
        <f aca="false">$V$13</f>
        <v>46508</v>
      </c>
      <c r="O14" s="10" t="n">
        <f aca="true">N14-TODAY()</f>
        <v>265</v>
      </c>
      <c r="P14" s="29" t="n">
        <f aca="false">D14*$V$12</f>
        <v>149500</v>
      </c>
      <c r="Q14" s="31" t="s">
        <v>287</v>
      </c>
      <c r="R14" s="4" t="str">
        <f aca="false">IF(H14&lt;=0,"Compliant",IF(H14/G14&lt;=0.1,"At Risk","Non-Compliant"))</f>
        <v>Compliant</v>
      </c>
      <c r="S14" s="4" t="str">
        <f aca="false">IF(K14&lt;=0,"Compliant",IF(K14/J14&lt;=0.1,"At Risk","Non-Compliant"))</f>
        <v>Non-Compliant</v>
      </c>
    </row>
    <row r="15" customFormat="false" ht="53.7" hidden="false" customHeight="true" outlineLevel="0" collapsed="false">
      <c r="A15" s="4" t="s">
        <v>131</v>
      </c>
      <c r="B15" s="4" t="s">
        <v>132</v>
      </c>
      <c r="C15" s="4" t="s">
        <v>49</v>
      </c>
      <c r="D15" s="7" t="n">
        <f aca="false">'Asset-Level Data'!K15</f>
        <v>346000</v>
      </c>
      <c r="E15" s="4" t="str">
        <f aca="false">IF(D15&gt;=25000,"Yes","No")</f>
        <v>Yes</v>
      </c>
      <c r="F15" s="28" t="n">
        <f aca="false">'Asset-Level Data'!P15+'Asset-Level Data'!Q15</f>
        <v>1150.87046</v>
      </c>
      <c r="G15" s="28" t="n">
        <f aca="false">D15*VLOOKUP(C15,$U$2:$W$8,2,FALSE())</f>
        <v>1013.78</v>
      </c>
      <c r="H15" s="28" t="n">
        <f aca="false">F15-G15</f>
        <v>137.09046</v>
      </c>
      <c r="I15" s="29" t="n">
        <f aca="false">MAX(0,H15)*$V$11</f>
        <v>36740.24328</v>
      </c>
      <c r="J15" s="28" t="n">
        <f aca="false">D15*VLOOKUP(C15,$U$2:$W$8,3,FALSE())</f>
        <v>629.72</v>
      </c>
      <c r="K15" s="28" t="n">
        <f aca="false">F15-J15</f>
        <v>521.15046</v>
      </c>
      <c r="L15" s="29" t="n">
        <f aca="false">MAX(0,K15)*$V$11</f>
        <v>139668.32328</v>
      </c>
      <c r="M15" s="4" t="s">
        <v>286</v>
      </c>
      <c r="N15" s="30" t="n">
        <f aca="false">$V$13</f>
        <v>46508</v>
      </c>
      <c r="O15" s="10" t="n">
        <f aca="true">N15-TODAY()</f>
        <v>265</v>
      </c>
      <c r="P15" s="29" t="n">
        <f aca="false">D15*$V$12</f>
        <v>173000</v>
      </c>
      <c r="Q15" s="31" t="s">
        <v>291</v>
      </c>
      <c r="R15" s="4" t="str">
        <f aca="false">IF(H15&lt;=0,"Compliant",IF(H15/G15&lt;=0.1,"At Risk","Non-Compliant"))</f>
        <v>Non-Compliant</v>
      </c>
      <c r="S15" s="4" t="str">
        <f aca="false">IF(K15&lt;=0,"Compliant",IF(K15/J15&lt;=0.1,"At Risk","Non-Compliant"))</f>
        <v>Non-Compliant</v>
      </c>
      <c r="U15" s="14" t="s">
        <v>295</v>
      </c>
      <c r="V15" s="14"/>
      <c r="W15" s="14"/>
    </row>
    <row r="16" customFormat="false" ht="15" hidden="false" customHeight="false" outlineLevel="0" collapsed="false">
      <c r="A16" s="4" t="s">
        <v>136</v>
      </c>
      <c r="B16" s="4" t="s">
        <v>137</v>
      </c>
      <c r="C16" s="4" t="s">
        <v>59</v>
      </c>
      <c r="D16" s="7" t="n">
        <f aca="false">'Asset-Level Data'!K16</f>
        <v>263000</v>
      </c>
      <c r="E16" s="4" t="str">
        <f aca="false">IF(D16&gt;=25000,"Yes","No")</f>
        <v>Yes</v>
      </c>
      <c r="F16" s="28" t="n">
        <f aca="false">'Asset-Level Data'!P16+'Asset-Level Data'!Q16</f>
        <v>716.68488</v>
      </c>
      <c r="G16" s="28" t="n">
        <f aca="false">D16*VLOOKUP(C16,$U$2:$W$8,2,FALSE())</f>
        <v>739.03</v>
      </c>
      <c r="H16" s="28" t="n">
        <f aca="false">F16-G16</f>
        <v>-22.34512</v>
      </c>
      <c r="I16" s="29" t="n">
        <f aca="false">MAX(0,H16)*$V$11</f>
        <v>0</v>
      </c>
      <c r="J16" s="28" t="n">
        <f aca="false">D16*VLOOKUP(C16,$U$2:$W$8,3,FALSE())</f>
        <v>457.62</v>
      </c>
      <c r="K16" s="28" t="n">
        <f aca="false">F16-J16</f>
        <v>259.06488</v>
      </c>
      <c r="L16" s="29" t="n">
        <f aca="false">MAX(0,K16)*$V$11</f>
        <v>69429.38784</v>
      </c>
      <c r="M16" s="4" t="s">
        <v>286</v>
      </c>
      <c r="N16" s="30" t="n">
        <f aca="false">$V$13</f>
        <v>46508</v>
      </c>
      <c r="O16" s="10" t="n">
        <f aca="true">N16-TODAY()</f>
        <v>265</v>
      </c>
      <c r="P16" s="29" t="n">
        <f aca="false">D16*$V$12</f>
        <v>131500</v>
      </c>
      <c r="Q16" s="31" t="s">
        <v>287</v>
      </c>
      <c r="R16" s="4" t="str">
        <f aca="false">IF(H16&lt;=0,"Compliant",IF(H16/G16&lt;=0.1,"At Risk","Non-Compliant"))</f>
        <v>Compliant</v>
      </c>
      <c r="S16" s="4" t="str">
        <f aca="false">IF(K16&lt;=0,"Compliant",IF(K16/J16&lt;=0.1,"At Risk","Non-Compliant"))</f>
        <v>Non-Compliant</v>
      </c>
    </row>
    <row r="17" customFormat="false" ht="15" hidden="false" customHeight="false" outlineLevel="0" collapsed="false">
      <c r="A17" s="4" t="s">
        <v>142</v>
      </c>
      <c r="B17" s="4" t="s">
        <v>143</v>
      </c>
      <c r="C17" s="4" t="s">
        <v>68</v>
      </c>
      <c r="D17" s="7" t="n">
        <f aca="false">'Asset-Level Data'!K17</f>
        <v>613000</v>
      </c>
      <c r="E17" s="4" t="str">
        <f aca="false">IF(D17&gt;=25000,"Yes","No")</f>
        <v>Yes</v>
      </c>
      <c r="F17" s="28" t="n">
        <f aca="false">'Asset-Level Data'!P17+'Asset-Level Data'!Q17</f>
        <v>1973.2386</v>
      </c>
      <c r="G17" s="28" t="n">
        <f aca="false">D17*VLOOKUP(C17,$U$2:$W$8,2,FALSE())</f>
        <v>1973.86</v>
      </c>
      <c r="H17" s="28" t="n">
        <f aca="false">F17-G17</f>
        <v>-0.621399999999994</v>
      </c>
      <c r="I17" s="29" t="n">
        <f aca="false">MAX(0,H17)*$V$11</f>
        <v>0</v>
      </c>
      <c r="J17" s="28" t="n">
        <f aca="false">D17*VLOOKUP(C17,$U$2:$W$8,3,FALSE())</f>
        <v>1226</v>
      </c>
      <c r="K17" s="28" t="n">
        <f aca="false">F17-J17</f>
        <v>747.2386</v>
      </c>
      <c r="L17" s="29" t="n">
        <f aca="false">MAX(0,K17)*$V$11</f>
        <v>200259.9448</v>
      </c>
      <c r="M17" s="4" t="s">
        <v>286</v>
      </c>
      <c r="N17" s="30" t="n">
        <f aca="false">$V$13</f>
        <v>46508</v>
      </c>
      <c r="O17" s="10" t="n">
        <f aca="true">N17-TODAY()</f>
        <v>265</v>
      </c>
      <c r="P17" s="29" t="n">
        <f aca="false">D17*$V$12</f>
        <v>306500</v>
      </c>
      <c r="Q17" s="31" t="s">
        <v>287</v>
      </c>
      <c r="R17" s="4" t="str">
        <f aca="false">IF(H17&lt;=0,"Compliant",IF(H17/G17&lt;=0.1,"At Risk","Non-Compliant"))</f>
        <v>Compliant</v>
      </c>
      <c r="S17" s="4" t="str">
        <f aca="false">IF(K17&lt;=0,"Compliant",IF(K17/J17&lt;=0.1,"At Risk","Non-Compliant"))</f>
        <v>Non-Compliant</v>
      </c>
    </row>
    <row r="18" customFormat="false" ht="23.85" hidden="false" customHeight="false" outlineLevel="0" collapsed="false">
      <c r="A18" s="4" t="s">
        <v>148</v>
      </c>
      <c r="B18" s="4" t="s">
        <v>149</v>
      </c>
      <c r="C18" s="4" t="s">
        <v>77</v>
      </c>
      <c r="D18" s="7" t="n">
        <f aca="false">'Asset-Level Data'!K18</f>
        <v>477000</v>
      </c>
      <c r="E18" s="4" t="str">
        <f aca="false">IF(D18&gt;=25000,"Yes","No")</f>
        <v>Yes</v>
      </c>
      <c r="F18" s="28" t="n">
        <f aca="false">'Asset-Level Data'!P18+'Asset-Level Data'!Q18</f>
        <v>1137.98012</v>
      </c>
      <c r="G18" s="28" t="n">
        <f aca="false">D18*VLOOKUP(C18,$U$2:$W$8,2,FALSE())</f>
        <v>1774.44</v>
      </c>
      <c r="H18" s="28" t="n">
        <f aca="false">F18-G18</f>
        <v>-636.45988</v>
      </c>
      <c r="I18" s="29" t="n">
        <f aca="false">MAX(0,H18)*$V$11</f>
        <v>0</v>
      </c>
      <c r="J18" s="28" t="n">
        <f aca="false">D18*VLOOKUP(C18,$U$2:$W$8,3,FALSE())</f>
        <v>1101.87</v>
      </c>
      <c r="K18" s="28" t="n">
        <f aca="false">F18-J18</f>
        <v>36.1101200000001</v>
      </c>
      <c r="L18" s="29" t="n">
        <f aca="false">MAX(0,K18)*$V$11</f>
        <v>9677.51216000001</v>
      </c>
      <c r="M18" s="4" t="s">
        <v>289</v>
      </c>
      <c r="N18" s="30" t="n">
        <f aca="false">$V$13</f>
        <v>46508</v>
      </c>
      <c r="O18" s="10" t="n">
        <f aca="true">N18-TODAY()</f>
        <v>265</v>
      </c>
      <c r="P18" s="29" t="n">
        <f aca="false">D18*$V$12</f>
        <v>238500</v>
      </c>
      <c r="Q18" s="31" t="s">
        <v>291</v>
      </c>
      <c r="R18" s="4" t="str">
        <f aca="false">IF(H18&lt;=0,"Compliant",IF(H18/G18&lt;=0.1,"At Risk","Non-Compliant"))</f>
        <v>Compliant</v>
      </c>
      <c r="S18" s="4" t="str">
        <f aca="false">IF(K18&lt;=0,"Compliant",IF(K18/J18&lt;=0.1,"At Risk","Non-Compliant"))</f>
        <v>At Risk</v>
      </c>
    </row>
    <row r="19" customFormat="false" ht="15" hidden="false" customHeight="false" outlineLevel="0" collapsed="false">
      <c r="A19" s="4" t="s">
        <v>155</v>
      </c>
      <c r="B19" s="4" t="s">
        <v>156</v>
      </c>
      <c r="C19" s="4" t="s">
        <v>87</v>
      </c>
      <c r="D19" s="7" t="n">
        <f aca="false">'Asset-Level Data'!K19</f>
        <v>79000</v>
      </c>
      <c r="E19" s="4" t="str">
        <f aca="false">IF(D19&gt;=25000,"Yes","No")</f>
        <v>Yes</v>
      </c>
      <c r="F19" s="28" t="n">
        <f aca="false">'Asset-Level Data'!P19+'Asset-Level Data'!Q19</f>
        <v>210.02412</v>
      </c>
      <c r="G19" s="28" t="n">
        <f aca="false">D19*VLOOKUP(C19,$U$2:$W$8,2,FALSE())</f>
        <v>162.74</v>
      </c>
      <c r="H19" s="28" t="n">
        <f aca="false">F19-G19</f>
        <v>47.28412</v>
      </c>
      <c r="I19" s="29" t="n">
        <f aca="false">MAX(0,H19)*$V$11</f>
        <v>12672.14416</v>
      </c>
      <c r="J19" s="28" t="n">
        <f aca="false">D19*VLOOKUP(C19,$U$2:$W$8,3,FALSE())</f>
        <v>101.12</v>
      </c>
      <c r="K19" s="28" t="n">
        <f aca="false">F19-J19</f>
        <v>108.90412</v>
      </c>
      <c r="L19" s="29" t="n">
        <f aca="false">MAX(0,K19)*$V$11</f>
        <v>29186.30416</v>
      </c>
      <c r="M19" s="4" t="s">
        <v>286</v>
      </c>
      <c r="N19" s="30" t="n">
        <f aca="false">$V$13</f>
        <v>46508</v>
      </c>
      <c r="O19" s="10" t="n">
        <f aca="true">N19-TODAY()</f>
        <v>265</v>
      </c>
      <c r="P19" s="29" t="n">
        <f aca="false">D19*$V$12</f>
        <v>39500</v>
      </c>
      <c r="Q19" s="31" t="s">
        <v>287</v>
      </c>
      <c r="R19" s="4" t="str">
        <f aca="false">IF(H19&lt;=0,"Compliant",IF(H19/G19&lt;=0.1,"At Risk","Non-Compliant"))</f>
        <v>Non-Compliant</v>
      </c>
      <c r="S19" s="4" t="str">
        <f aca="false">IF(K19&lt;=0,"Compliant",IF(K19/J19&lt;=0.1,"At Risk","Non-Compliant"))</f>
        <v>Non-Compliant</v>
      </c>
    </row>
    <row r="20" customFormat="false" ht="23.85" hidden="false" customHeight="false" outlineLevel="0" collapsed="false">
      <c r="A20" s="4" t="s">
        <v>161</v>
      </c>
      <c r="B20" s="4" t="s">
        <v>162</v>
      </c>
      <c r="C20" s="4" t="s">
        <v>37</v>
      </c>
      <c r="D20" s="7" t="n">
        <f aca="false">'Asset-Level Data'!K20</f>
        <v>449000</v>
      </c>
      <c r="E20" s="4" t="str">
        <f aca="false">IF(D20&gt;=25000,"Yes","No")</f>
        <v>Yes</v>
      </c>
      <c r="F20" s="28" t="n">
        <f aca="false">'Asset-Level Data'!P20+'Asset-Level Data'!Q20</f>
        <v>1034.68234</v>
      </c>
      <c r="G20" s="28" t="n">
        <f aca="false">D20*VLOOKUP(C20,$U$2:$W$8,2,FALSE())</f>
        <v>2285.41</v>
      </c>
      <c r="H20" s="28" t="n">
        <f aca="false">F20-G20</f>
        <v>-1250.72766</v>
      </c>
      <c r="I20" s="29" t="n">
        <f aca="false">MAX(0,H20)*$V$11</f>
        <v>0</v>
      </c>
      <c r="J20" s="28" t="n">
        <f aca="false">D20*VLOOKUP(C20,$U$2:$W$8,3,FALSE())</f>
        <v>1414.35</v>
      </c>
      <c r="K20" s="28" t="n">
        <f aca="false">F20-J20</f>
        <v>-379.66766</v>
      </c>
      <c r="L20" s="29" t="n">
        <f aca="false">MAX(0,K20)*$V$11</f>
        <v>0</v>
      </c>
      <c r="M20" s="4" t="s">
        <v>286</v>
      </c>
      <c r="N20" s="30" t="n">
        <f aca="false">$V$13</f>
        <v>46508</v>
      </c>
      <c r="O20" s="10" t="n">
        <f aca="true">N20-TODAY()</f>
        <v>265</v>
      </c>
      <c r="P20" s="29" t="n">
        <f aca="false">D20*$V$12</f>
        <v>224500</v>
      </c>
      <c r="Q20" s="31" t="s">
        <v>291</v>
      </c>
      <c r="R20" s="4" t="str">
        <f aca="false">IF(H20&lt;=0,"Compliant",IF(H20/G20&lt;=0.1,"At Risk","Non-Compliant"))</f>
        <v>Compliant</v>
      </c>
      <c r="S20" s="4" t="str">
        <f aca="false">IF(K20&lt;=0,"Compliant",IF(K20/J20&lt;=0.1,"At Risk","Non-Compliant"))</f>
        <v>Compliant</v>
      </c>
    </row>
    <row r="21" customFormat="false" ht="15" hidden="false" customHeight="false" outlineLevel="0" collapsed="false">
      <c r="A21" s="4" t="s">
        <v>167</v>
      </c>
      <c r="B21" s="4" t="s">
        <v>168</v>
      </c>
      <c r="C21" s="4" t="s">
        <v>49</v>
      </c>
      <c r="D21" s="7" t="n">
        <f aca="false">'Asset-Level Data'!K21</f>
        <v>574000</v>
      </c>
      <c r="E21" s="4" t="str">
        <f aca="false">IF(D21&gt;=25000,"Yes","No")</f>
        <v>Yes</v>
      </c>
      <c r="F21" s="28" t="n">
        <f aca="false">'Asset-Level Data'!P21+'Asset-Level Data'!Q21</f>
        <v>1681.92402</v>
      </c>
      <c r="G21" s="28" t="n">
        <f aca="false">D21*VLOOKUP(C21,$U$2:$W$8,2,FALSE())</f>
        <v>1681.82</v>
      </c>
      <c r="H21" s="28" t="n">
        <f aca="false">F21-G21</f>
        <v>0.104020000000219</v>
      </c>
      <c r="I21" s="29" t="n">
        <f aca="false">MAX(0,H21)*$V$11</f>
        <v>27.8773600000586</v>
      </c>
      <c r="J21" s="28" t="n">
        <f aca="false">D21*VLOOKUP(C21,$U$2:$W$8,3,FALSE())</f>
        <v>1044.68</v>
      </c>
      <c r="K21" s="28" t="n">
        <f aca="false">F21-J21</f>
        <v>637.24402</v>
      </c>
      <c r="L21" s="29" t="n">
        <f aca="false">MAX(0,K21)*$V$11</f>
        <v>170781.39736</v>
      </c>
      <c r="M21" s="4" t="s">
        <v>286</v>
      </c>
      <c r="N21" s="30" t="n">
        <f aca="false">$V$13</f>
        <v>46508</v>
      </c>
      <c r="O21" s="10" t="n">
        <f aca="true">N21-TODAY()</f>
        <v>265</v>
      </c>
      <c r="P21" s="29" t="n">
        <f aca="false">D21*$V$12</f>
        <v>287000</v>
      </c>
      <c r="Q21" s="31" t="s">
        <v>287</v>
      </c>
      <c r="R21" s="4" t="str">
        <f aca="false">IF(H21&lt;=0,"Compliant",IF(H21/G21&lt;=0.1,"At Risk","Non-Compliant"))</f>
        <v>At Risk</v>
      </c>
      <c r="S21" s="4" t="str">
        <f aca="false">IF(K21&lt;=0,"Compliant",IF(K21/J21&lt;=0.1,"At Risk","Non-Compliant"))</f>
        <v>Non-Compliant</v>
      </c>
    </row>
    <row r="22" customFormat="false" ht="15" hidden="false" customHeight="false" outlineLevel="0" collapsed="false">
      <c r="A22" s="4" t="s">
        <v>174</v>
      </c>
      <c r="B22" s="4" t="s">
        <v>175</v>
      </c>
      <c r="C22" s="4" t="s">
        <v>59</v>
      </c>
      <c r="D22" s="7" t="n">
        <f aca="false">'Asset-Level Data'!K22</f>
        <v>531000</v>
      </c>
      <c r="E22" s="4" t="str">
        <f aca="false">IF(D22&gt;=25000,"Yes","No")</f>
        <v>Yes</v>
      </c>
      <c r="F22" s="28" t="n">
        <f aca="false">'Asset-Level Data'!P22+'Asset-Level Data'!Q22</f>
        <v>1492.85206</v>
      </c>
      <c r="G22" s="28" t="n">
        <f aca="false">D22*VLOOKUP(C22,$U$2:$W$8,2,FALSE())</f>
        <v>1492.11</v>
      </c>
      <c r="H22" s="28" t="n">
        <f aca="false">F22-G22</f>
        <v>0.742060000000265</v>
      </c>
      <c r="I22" s="29" t="n">
        <f aca="false">MAX(0,H22)*$V$11</f>
        <v>198.872080000071</v>
      </c>
      <c r="J22" s="28" t="n">
        <f aca="false">D22*VLOOKUP(C22,$U$2:$W$8,3,FALSE())</f>
        <v>923.94</v>
      </c>
      <c r="K22" s="28" t="n">
        <f aca="false">F22-J22</f>
        <v>568.91206</v>
      </c>
      <c r="L22" s="29" t="n">
        <f aca="false">MAX(0,K22)*$V$11</f>
        <v>152468.43208</v>
      </c>
      <c r="M22" s="4" t="s">
        <v>286</v>
      </c>
      <c r="N22" s="30" t="n">
        <f aca="false">$V$13</f>
        <v>46508</v>
      </c>
      <c r="O22" s="10" t="n">
        <f aca="true">N22-TODAY()</f>
        <v>265</v>
      </c>
      <c r="P22" s="29" t="n">
        <f aca="false">D22*$V$12</f>
        <v>265500</v>
      </c>
      <c r="Q22" s="31" t="s">
        <v>287</v>
      </c>
      <c r="R22" s="4" t="str">
        <f aca="false">IF(H22&lt;=0,"Compliant",IF(H22/G22&lt;=0.1,"At Risk","Non-Compliant"))</f>
        <v>At Risk</v>
      </c>
      <c r="S22" s="4" t="str">
        <f aca="false">IF(K22&lt;=0,"Compliant",IF(K22/J22&lt;=0.1,"At Risk","Non-Compliant"))</f>
        <v>Non-Compliant</v>
      </c>
    </row>
    <row r="23" customFormat="false" ht="15" hidden="false" customHeight="false" outlineLevel="0" collapsed="false">
      <c r="A23" s="4" t="s">
        <v>179</v>
      </c>
      <c r="B23" s="4" t="s">
        <v>180</v>
      </c>
      <c r="C23" s="4" t="s">
        <v>68</v>
      </c>
      <c r="D23" s="7" t="n">
        <f aca="false">'Asset-Level Data'!K23</f>
        <v>680000</v>
      </c>
      <c r="E23" s="4" t="str">
        <f aca="false">IF(D23&gt;=25000,"Yes","No")</f>
        <v>Yes</v>
      </c>
      <c r="F23" s="28" t="n">
        <f aca="false">'Asset-Level Data'!P23+'Asset-Level Data'!Q23</f>
        <v>2141.98604</v>
      </c>
      <c r="G23" s="28" t="n">
        <f aca="false">D23*VLOOKUP(C23,$U$2:$W$8,2,FALSE())</f>
        <v>2189.6</v>
      </c>
      <c r="H23" s="28" t="n">
        <f aca="false">F23-G23</f>
        <v>-47.6139600000001</v>
      </c>
      <c r="I23" s="29" t="n">
        <f aca="false">MAX(0,H23)*$V$11</f>
        <v>0</v>
      </c>
      <c r="J23" s="28" t="n">
        <f aca="false">D23*VLOOKUP(C23,$U$2:$W$8,3,FALSE())</f>
        <v>1360</v>
      </c>
      <c r="K23" s="28" t="n">
        <f aca="false">F23-J23</f>
        <v>781.98604</v>
      </c>
      <c r="L23" s="29" t="n">
        <f aca="false">MAX(0,K23)*$V$11</f>
        <v>209572.25872</v>
      </c>
      <c r="M23" s="4" t="s">
        <v>289</v>
      </c>
      <c r="N23" s="30" t="n">
        <f aca="false">$V$13</f>
        <v>46508</v>
      </c>
      <c r="O23" s="10" t="n">
        <f aca="true">N23-TODAY()</f>
        <v>265</v>
      </c>
      <c r="P23" s="29" t="n">
        <f aca="false">D23*$V$12</f>
        <v>340000</v>
      </c>
      <c r="Q23" s="31" t="s">
        <v>287</v>
      </c>
      <c r="R23" s="4" t="str">
        <f aca="false">IF(H23&lt;=0,"Compliant",IF(H23/G23&lt;=0.1,"At Risk","Non-Compliant"))</f>
        <v>Compliant</v>
      </c>
      <c r="S23" s="4" t="str">
        <f aca="false">IF(K23&lt;=0,"Compliant",IF(K23/J23&lt;=0.1,"At Risk","Non-Compliant"))</f>
        <v>Non-Compliant</v>
      </c>
    </row>
    <row r="24" customFormat="false" ht="23.85" hidden="false" customHeight="false" outlineLevel="0" collapsed="false">
      <c r="A24" s="4" t="s">
        <v>185</v>
      </c>
      <c r="B24" s="4" t="s">
        <v>186</v>
      </c>
      <c r="C24" s="4" t="s">
        <v>77</v>
      </c>
      <c r="D24" s="7" t="n">
        <f aca="false">'Asset-Level Data'!K24</f>
        <v>522000</v>
      </c>
      <c r="E24" s="4" t="str">
        <f aca="false">IF(D24&gt;=25000,"Yes","No")</f>
        <v>Yes</v>
      </c>
      <c r="F24" s="28" t="n">
        <f aca="false">'Asset-Level Data'!P24+'Asset-Level Data'!Q24</f>
        <v>1941.25198</v>
      </c>
      <c r="G24" s="28" t="n">
        <f aca="false">D24*VLOOKUP(C24,$U$2:$W$8,2,FALSE())</f>
        <v>1941.84</v>
      </c>
      <c r="H24" s="28" t="n">
        <f aca="false">F24-G24</f>
        <v>-0.588020000000142</v>
      </c>
      <c r="I24" s="29" t="n">
        <f aca="false">MAX(0,H24)*$V$11</f>
        <v>0</v>
      </c>
      <c r="J24" s="28" t="n">
        <f aca="false">D24*VLOOKUP(C24,$U$2:$W$8,3,FALSE())</f>
        <v>1205.82</v>
      </c>
      <c r="K24" s="28" t="n">
        <f aca="false">F24-J24</f>
        <v>735.43198</v>
      </c>
      <c r="L24" s="29" t="n">
        <f aca="false">MAX(0,K24)*$V$11</f>
        <v>197095.77064</v>
      </c>
      <c r="M24" s="4" t="s">
        <v>288</v>
      </c>
      <c r="N24" s="30" t="n">
        <f aca="false">$V$13</f>
        <v>46508</v>
      </c>
      <c r="O24" s="10" t="n">
        <f aca="true">N24-TODAY()</f>
        <v>265</v>
      </c>
      <c r="P24" s="29" t="n">
        <f aca="false">D24*$V$12</f>
        <v>261000</v>
      </c>
      <c r="Q24" s="31" t="s">
        <v>290</v>
      </c>
      <c r="R24" s="4" t="str">
        <f aca="false">IF(H24&lt;=0,"Compliant",IF(H24/G24&lt;=0.1,"At Risk","Non-Compliant"))</f>
        <v>Compliant</v>
      </c>
      <c r="S24" s="4" t="str">
        <f aca="false">IF(K24&lt;=0,"Compliant",IF(K24/J24&lt;=0.1,"At Risk","Non-Compliant"))</f>
        <v>Non-Compliant</v>
      </c>
    </row>
    <row r="25" customFormat="false" ht="15" hidden="false" customHeight="false" outlineLevel="0" collapsed="false">
      <c r="A25" s="4" t="s">
        <v>191</v>
      </c>
      <c r="B25" s="4" t="s">
        <v>192</v>
      </c>
      <c r="C25" s="4" t="s">
        <v>87</v>
      </c>
      <c r="D25" s="7" t="n">
        <f aca="false">'Asset-Level Data'!K25</f>
        <v>551000</v>
      </c>
      <c r="E25" s="4" t="str">
        <f aca="false">IF(D25&gt;=25000,"Yes","No")</f>
        <v>Yes</v>
      </c>
      <c r="F25" s="28" t="n">
        <f aca="false">'Asset-Level Data'!P25+'Asset-Level Data'!Q25</f>
        <v>1108.82708</v>
      </c>
      <c r="G25" s="28" t="n">
        <f aca="false">D25*VLOOKUP(C25,$U$2:$W$8,2,FALSE())</f>
        <v>1135.06</v>
      </c>
      <c r="H25" s="28" t="n">
        <f aca="false">F25-G25</f>
        <v>-26.2329200000002</v>
      </c>
      <c r="I25" s="29" t="n">
        <f aca="false">MAX(0,H25)*$V$11</f>
        <v>0</v>
      </c>
      <c r="J25" s="28" t="n">
        <f aca="false">D25*VLOOKUP(C25,$U$2:$W$8,3,FALSE())</f>
        <v>705.28</v>
      </c>
      <c r="K25" s="28" t="n">
        <f aca="false">F25-J25</f>
        <v>403.54708</v>
      </c>
      <c r="L25" s="29" t="n">
        <f aca="false">MAX(0,K25)*$V$11</f>
        <v>108150.61744</v>
      </c>
      <c r="M25" s="4" t="s">
        <v>286</v>
      </c>
      <c r="N25" s="30" t="n">
        <f aca="false">$V$13</f>
        <v>46508</v>
      </c>
      <c r="O25" s="10" t="n">
        <f aca="true">N25-TODAY()</f>
        <v>265</v>
      </c>
      <c r="P25" s="29" t="n">
        <f aca="false">D25*$V$12</f>
        <v>275500</v>
      </c>
      <c r="Q25" s="31" t="s">
        <v>287</v>
      </c>
      <c r="R25" s="4" t="str">
        <f aca="false">IF(H25&lt;=0,"Compliant",IF(H25/G25&lt;=0.1,"At Risk","Non-Compliant"))</f>
        <v>Compliant</v>
      </c>
      <c r="S25" s="4" t="str">
        <f aca="false">IF(K25&lt;=0,"Compliant",IF(K25/J25&lt;=0.1,"At Risk","Non-Compliant"))</f>
        <v>Non-Compliant</v>
      </c>
    </row>
    <row r="26" customFormat="false" ht="15" hidden="false" customHeight="false" outlineLevel="0" collapsed="false">
      <c r="A26" s="4" t="s">
        <v>197</v>
      </c>
      <c r="B26" s="4" t="s">
        <v>198</v>
      </c>
      <c r="C26" s="4" t="s">
        <v>37</v>
      </c>
      <c r="D26" s="7" t="n">
        <f aca="false">'Asset-Level Data'!K26</f>
        <v>653000</v>
      </c>
      <c r="E26" s="4" t="str">
        <f aca="false">IF(D26&gt;=25000,"Yes","No")</f>
        <v>Yes</v>
      </c>
      <c r="F26" s="28" t="n">
        <f aca="false">'Asset-Level Data'!P26+'Asset-Level Data'!Q26</f>
        <v>2699.49334</v>
      </c>
      <c r="G26" s="28" t="n">
        <f aca="false">D26*VLOOKUP(C26,$U$2:$W$8,2,FALSE())</f>
        <v>3323.77</v>
      </c>
      <c r="H26" s="28" t="n">
        <f aca="false">F26-G26</f>
        <v>-624.27666</v>
      </c>
      <c r="I26" s="29" t="n">
        <f aca="false">MAX(0,H26)*$V$11</f>
        <v>0</v>
      </c>
      <c r="J26" s="28" t="n">
        <f aca="false">D26*VLOOKUP(C26,$U$2:$W$8,3,FALSE())</f>
        <v>2056.95</v>
      </c>
      <c r="K26" s="28" t="n">
        <f aca="false">F26-J26</f>
        <v>642.54334</v>
      </c>
      <c r="L26" s="29" t="n">
        <f aca="false">MAX(0,K26)*$V$11</f>
        <v>172201.61512</v>
      </c>
      <c r="M26" s="4" t="s">
        <v>286</v>
      </c>
      <c r="N26" s="30" t="n">
        <f aca="false">$V$13</f>
        <v>46508</v>
      </c>
      <c r="O26" s="10" t="n">
        <f aca="true">N26-TODAY()</f>
        <v>265</v>
      </c>
      <c r="P26" s="29" t="n">
        <f aca="false">D26*$V$12</f>
        <v>326500</v>
      </c>
      <c r="Q26" s="31" t="s">
        <v>287</v>
      </c>
      <c r="R26" s="4" t="str">
        <f aca="false">IF(H26&lt;=0,"Compliant",IF(H26/G26&lt;=0.1,"At Risk","Non-Compliant"))</f>
        <v>Compliant</v>
      </c>
      <c r="S26" s="4" t="str">
        <f aca="false">IF(K26&lt;=0,"Compliant",IF(K26/J26&lt;=0.1,"At Risk","Non-Compliant"))</f>
        <v>Non-Compliant</v>
      </c>
    </row>
    <row r="27" customFormat="false" ht="15" hidden="false" customHeight="false" outlineLevel="0" collapsed="false">
      <c r="A27" s="4" t="s">
        <v>203</v>
      </c>
      <c r="B27" s="4" t="s">
        <v>204</v>
      </c>
      <c r="C27" s="4" t="s">
        <v>208</v>
      </c>
      <c r="D27" s="7" t="n">
        <f aca="false">'Asset-Level Data'!K27</f>
        <v>447000</v>
      </c>
      <c r="E27" s="4" t="str">
        <f aca="false">IF(D27&gt;=25000,"Yes","No")</f>
        <v>Yes</v>
      </c>
      <c r="F27" s="28" t="n">
        <f aca="false">'Asset-Level Data'!P27+'Asset-Level Data'!Q27</f>
        <v>1766.47452</v>
      </c>
      <c r="G27" s="28" t="n">
        <f aca="false">D27*VLOOKUP(C27,$U$2:$W$8,2,FALSE())</f>
        <v>1832.7</v>
      </c>
      <c r="H27" s="28" t="n">
        <f aca="false">F27-G27</f>
        <v>-66.2254799999998</v>
      </c>
      <c r="I27" s="29" t="n">
        <f aca="false">MAX(0,H27)*$V$11</f>
        <v>0</v>
      </c>
      <c r="J27" s="28" t="n">
        <f aca="false">D27*VLOOKUP(C27,$U$2:$W$8,3,FALSE())</f>
        <v>1135.38</v>
      </c>
      <c r="K27" s="28" t="n">
        <f aca="false">F27-J27</f>
        <v>631.09452</v>
      </c>
      <c r="L27" s="29" t="n">
        <f aca="false">MAX(0,K27)*$V$11</f>
        <v>169133.33136</v>
      </c>
      <c r="M27" s="4" t="s">
        <v>286</v>
      </c>
      <c r="N27" s="30" t="n">
        <f aca="false">$V$13</f>
        <v>46508</v>
      </c>
      <c r="O27" s="10" t="n">
        <f aca="true">N27-TODAY()</f>
        <v>265</v>
      </c>
      <c r="P27" s="29" t="n">
        <f aca="false">D27*$V$12</f>
        <v>223500</v>
      </c>
      <c r="Q27" s="31" t="s">
        <v>287</v>
      </c>
      <c r="R27" s="4" t="str">
        <f aca="false">IF(H27&lt;=0,"Compliant",IF(H27/G27&lt;=0.1,"At Risk","Non-Compliant"))</f>
        <v>Compliant</v>
      </c>
      <c r="S27" s="4" t="str">
        <f aca="false">IF(K27&lt;=0,"Compliant",IF(K27/J27&lt;=0.1,"At Risk","Non-Compliant"))</f>
        <v>Non-Compliant</v>
      </c>
    </row>
    <row r="28" customFormat="false" ht="23.85" hidden="false" customHeight="false" outlineLevel="0" collapsed="false">
      <c r="A28" s="4" t="s">
        <v>210</v>
      </c>
      <c r="B28" s="4" t="s">
        <v>211</v>
      </c>
      <c r="C28" s="4" t="s">
        <v>208</v>
      </c>
      <c r="D28" s="7" t="n">
        <f aca="false">'Asset-Level Data'!K28</f>
        <v>391000</v>
      </c>
      <c r="E28" s="4" t="str">
        <f aca="false">IF(D28&gt;=25000,"Yes","No")</f>
        <v>Yes</v>
      </c>
      <c r="F28" s="28" t="n">
        <f aca="false">'Asset-Level Data'!P28+'Asset-Level Data'!Q28</f>
        <v>1778.73148</v>
      </c>
      <c r="G28" s="28" t="n">
        <f aca="false">D28*VLOOKUP(C28,$U$2:$W$8,2,FALSE())</f>
        <v>1603.1</v>
      </c>
      <c r="H28" s="28" t="n">
        <f aca="false">F28-G28</f>
        <v>175.63148</v>
      </c>
      <c r="I28" s="29" t="n">
        <f aca="false">MAX(0,H28)*$V$11</f>
        <v>47069.23664</v>
      </c>
      <c r="J28" s="28" t="n">
        <f aca="false">D28*VLOOKUP(C28,$U$2:$W$8,3,FALSE())</f>
        <v>993.14</v>
      </c>
      <c r="K28" s="28" t="n">
        <f aca="false">F28-J28</f>
        <v>785.59148</v>
      </c>
      <c r="L28" s="29" t="n">
        <f aca="false">MAX(0,K28)*$V$11</f>
        <v>210538.51664</v>
      </c>
      <c r="M28" s="4" t="s">
        <v>286</v>
      </c>
      <c r="N28" s="30" t="n">
        <f aca="false">$V$13</f>
        <v>46508</v>
      </c>
      <c r="O28" s="10" t="n">
        <f aca="true">N28-TODAY()</f>
        <v>265</v>
      </c>
      <c r="P28" s="29" t="n">
        <f aca="false">D28*$V$12</f>
        <v>195500</v>
      </c>
      <c r="Q28" s="31" t="s">
        <v>290</v>
      </c>
      <c r="R28" s="4" t="str">
        <f aca="false">IF(H28&lt;=0,"Compliant",IF(H28/G28&lt;=0.1,"At Risk","Non-Compliant"))</f>
        <v>Non-Compliant</v>
      </c>
      <c r="S28" s="4" t="str">
        <f aca="false">IF(K28&lt;=0,"Compliant",IF(K28/J28&lt;=0.1,"At Risk","Non-Compliant"))</f>
        <v>Non-Compliant</v>
      </c>
    </row>
    <row r="29" customFormat="false" ht="23.85" hidden="false" customHeight="false" outlineLevel="0" collapsed="false">
      <c r="A29" s="4" t="s">
        <v>216</v>
      </c>
      <c r="B29" s="4" t="s">
        <v>217</v>
      </c>
      <c r="C29" s="4" t="s">
        <v>208</v>
      </c>
      <c r="D29" s="7" t="n">
        <f aca="false">'Asset-Level Data'!K29</f>
        <v>364000</v>
      </c>
      <c r="E29" s="4" t="str">
        <f aca="false">IF(D29&gt;=25000,"Yes","No")</f>
        <v>Yes</v>
      </c>
      <c r="F29" s="28" t="n">
        <f aca="false">'Asset-Level Data'!P29+'Asset-Level Data'!Q29</f>
        <v>1446.6841</v>
      </c>
      <c r="G29" s="28" t="n">
        <f aca="false">D29*VLOOKUP(C29,$U$2:$W$8,2,FALSE())</f>
        <v>1492.4</v>
      </c>
      <c r="H29" s="28" t="n">
        <f aca="false">F29-G29</f>
        <v>-45.7158999999999</v>
      </c>
      <c r="I29" s="29" t="n">
        <f aca="false">MAX(0,H29)*$V$11</f>
        <v>0</v>
      </c>
      <c r="J29" s="28" t="n">
        <f aca="false">D29*VLOOKUP(C29,$U$2:$W$8,3,FALSE())</f>
        <v>924.56</v>
      </c>
      <c r="K29" s="28" t="n">
        <f aca="false">F29-J29</f>
        <v>522.1241</v>
      </c>
      <c r="L29" s="29" t="n">
        <f aca="false">MAX(0,K29)*$V$11</f>
        <v>139929.2588</v>
      </c>
      <c r="M29" s="4" t="s">
        <v>289</v>
      </c>
      <c r="N29" s="30" t="n">
        <f aca="false">$V$13</f>
        <v>46508</v>
      </c>
      <c r="O29" s="10" t="n">
        <f aca="true">N29-TODAY()</f>
        <v>265</v>
      </c>
      <c r="P29" s="29" t="n">
        <f aca="false">D29*$V$12</f>
        <v>182000</v>
      </c>
      <c r="Q29" s="31" t="s">
        <v>291</v>
      </c>
      <c r="R29" s="4" t="str">
        <f aca="false">IF(H29&lt;=0,"Compliant",IF(H29/G29&lt;=0.1,"At Risk","Non-Compliant"))</f>
        <v>Compliant</v>
      </c>
      <c r="S29" s="4" t="str">
        <f aca="false">IF(K29&lt;=0,"Compliant",IF(K29/J29&lt;=0.1,"At Risk","Non-Compliant"))</f>
        <v>Non-Compliant</v>
      </c>
    </row>
    <row r="30" customFormat="false" ht="15" hidden="false" customHeight="false" outlineLevel="0" collapsed="false">
      <c r="A30" s="4" t="s">
        <v>222</v>
      </c>
      <c r="B30" s="4" t="s">
        <v>223</v>
      </c>
      <c r="C30" s="4" t="s">
        <v>208</v>
      </c>
      <c r="D30" s="7" t="n">
        <f aca="false">'Asset-Level Data'!K30</f>
        <v>405000</v>
      </c>
      <c r="E30" s="4" t="str">
        <f aca="false">IF(D30&gt;=25000,"Yes","No")</f>
        <v>Yes</v>
      </c>
      <c r="F30" s="28" t="n">
        <f aca="false">'Asset-Level Data'!P30+'Asset-Level Data'!Q30</f>
        <v>2092.3415</v>
      </c>
      <c r="G30" s="28" t="n">
        <f aca="false">D30*VLOOKUP(C30,$U$2:$W$8,2,FALSE())</f>
        <v>1660.5</v>
      </c>
      <c r="H30" s="28" t="n">
        <f aca="false">F30-G30</f>
        <v>431.8415</v>
      </c>
      <c r="I30" s="29" t="n">
        <f aca="false">MAX(0,H30)*$V$11</f>
        <v>115733.522</v>
      </c>
      <c r="J30" s="28" t="n">
        <f aca="false">D30*VLOOKUP(C30,$U$2:$W$8,3,FALSE())</f>
        <v>1028.7</v>
      </c>
      <c r="K30" s="28" t="n">
        <f aca="false">F30-J30</f>
        <v>1063.6415</v>
      </c>
      <c r="L30" s="29" t="n">
        <f aca="false">MAX(0,K30)*$V$11</f>
        <v>285055.922</v>
      </c>
      <c r="M30" s="4" t="s">
        <v>288</v>
      </c>
      <c r="N30" s="30" t="n">
        <f aca="false">$V$13</f>
        <v>46508</v>
      </c>
      <c r="O30" s="10" t="n">
        <f aca="true">N30-TODAY()</f>
        <v>265</v>
      </c>
      <c r="P30" s="29" t="n">
        <f aca="false">D30*$V$12</f>
        <v>202500</v>
      </c>
      <c r="Q30" s="31" t="s">
        <v>287</v>
      </c>
      <c r="R30" s="4" t="str">
        <f aca="false">IF(H30&lt;=0,"Compliant",IF(H30/G30&lt;=0.1,"At Risk","Non-Compliant"))</f>
        <v>Non-Compliant</v>
      </c>
      <c r="S30" s="4" t="str">
        <f aca="false">IF(K30&lt;=0,"Compliant",IF(K30/J30&lt;=0.1,"At Risk","Non-Compliant"))</f>
        <v>Non-Compliant</v>
      </c>
    </row>
    <row r="31" customFormat="false" ht="23.85" hidden="false" customHeight="false" outlineLevel="0" collapsed="false">
      <c r="A31" s="4" t="s">
        <v>228</v>
      </c>
      <c r="B31" s="4" t="s">
        <v>229</v>
      </c>
      <c r="C31" s="4" t="s">
        <v>208</v>
      </c>
      <c r="D31" s="7" t="n">
        <f aca="false">'Asset-Level Data'!K31</f>
        <v>252000</v>
      </c>
      <c r="E31" s="4" t="str">
        <f aca="false">IF(D31&gt;=25000,"Yes","No")</f>
        <v>Yes</v>
      </c>
      <c r="F31" s="28" t="n">
        <f aca="false">'Asset-Level Data'!P31+'Asset-Level Data'!Q31</f>
        <v>1033.86592</v>
      </c>
      <c r="G31" s="28" t="n">
        <f aca="false">D31*VLOOKUP(C31,$U$2:$W$8,2,FALSE())</f>
        <v>1033.2</v>
      </c>
      <c r="H31" s="28" t="n">
        <f aca="false">F31-G31</f>
        <v>0.665919999999915</v>
      </c>
      <c r="I31" s="29" t="n">
        <f aca="false">MAX(0,H31)*$V$11</f>
        <v>178.466559999977</v>
      </c>
      <c r="J31" s="28" t="n">
        <f aca="false">D31*VLOOKUP(C31,$U$2:$W$8,3,FALSE())</f>
        <v>640.08</v>
      </c>
      <c r="K31" s="28" t="n">
        <f aca="false">F31-J31</f>
        <v>393.78592</v>
      </c>
      <c r="L31" s="29" t="n">
        <f aca="false">MAX(0,K31)*$V$11</f>
        <v>105534.62656</v>
      </c>
      <c r="M31" s="4" t="s">
        <v>286</v>
      </c>
      <c r="N31" s="30" t="n">
        <f aca="false">$V$13</f>
        <v>46508</v>
      </c>
      <c r="O31" s="10" t="n">
        <f aca="true">N31-TODAY()</f>
        <v>265</v>
      </c>
      <c r="P31" s="29" t="n">
        <f aca="false">D31*$V$12</f>
        <v>126000</v>
      </c>
      <c r="Q31" s="31" t="s">
        <v>290</v>
      </c>
      <c r="R31" s="4" t="str">
        <f aca="false">IF(H31&lt;=0,"Compliant",IF(H31/G31&lt;=0.1,"At Risk","Non-Compliant"))</f>
        <v>At Risk</v>
      </c>
      <c r="S31" s="4" t="str">
        <f aca="false">IF(K31&lt;=0,"Compliant",IF(K31/J31&lt;=0.1,"At Risk","Non-Compliant"))</f>
        <v>Non-Compliant</v>
      </c>
    </row>
    <row r="33" customFormat="false" ht="15" hidden="false" customHeight="false" outlineLevel="0" collapsed="false">
      <c r="A33" s="34"/>
      <c r="B33" s="35" t="s">
        <v>296</v>
      </c>
      <c r="C33" s="34"/>
      <c r="D33" s="34"/>
      <c r="E33" s="34"/>
      <c r="F33" s="34"/>
      <c r="G33" s="34"/>
      <c r="H33" s="34"/>
      <c r="I33" s="36" t="n">
        <f aca="false">SUM(I2:I31)</f>
        <v>340682.61304</v>
      </c>
      <c r="J33" s="34"/>
      <c r="K33" s="34"/>
      <c r="L33" s="36" t="n">
        <f aca="false">SUM(L2:L31)</f>
        <v>3405111.99704</v>
      </c>
      <c r="M33" s="34"/>
      <c r="N33" s="34"/>
      <c r="O33" s="34"/>
      <c r="P33" s="34"/>
      <c r="Q33" s="34"/>
      <c r="R33" s="37" t="str">
        <f aca="false">COUNTIF(R2:R31,"Non-Compliant")&amp;" non-compliant, "&amp;COUNTIF(R2:R31,"At Risk")&amp;" at risk, "&amp;COUNTIF(R2:R31,"Compliant")&amp;" compliant"</f>
        <v>8 non-compliant, 4 at risk, 18 compliant</v>
      </c>
      <c r="S33" s="34"/>
    </row>
  </sheetData>
  <autoFilter ref="A1:S31"/>
  <mergeCells count="1">
    <mergeCell ref="U15:W15"/>
  </mergeCells>
  <conditionalFormatting sqref="R2:R31">
    <cfRule type="cellIs" priority="2" operator="equal" aboveAverage="0" equalAverage="0" bottom="0" percent="0" rank="0" text="" dxfId="7">
      <formula>"Compliant"</formula>
    </cfRule>
    <cfRule type="cellIs" priority="3" operator="equal" aboveAverage="0" equalAverage="0" bottom="0" percent="0" rank="0" text="" dxfId="9">
      <formula>"At Risk"</formula>
    </cfRule>
    <cfRule type="cellIs" priority="4" operator="equal" aboveAverage="0" equalAverage="0" bottom="0" percent="0" rank="0" text="" dxfId="10">
      <formula>"Non-Compliant"</formula>
    </cfRule>
  </conditionalFormatting>
  <conditionalFormatting sqref="S2:S31">
    <cfRule type="cellIs" priority="5" operator="equal" aboveAverage="0" equalAverage="0" bottom="0" percent="0" rank="0" text="" dxfId="7">
      <formula>"Compliant"</formula>
    </cfRule>
    <cfRule type="cellIs" priority="6" operator="equal" aboveAverage="0" equalAverage="0" bottom="0" percent="0" rank="0" text="" dxfId="9">
      <formula>"At Risk"</formula>
    </cfRule>
    <cfRule type="cellIs" priority="7" operator="equal" aboveAverage="0" equalAverage="0" bottom="0" percent="0" rank="0" text="" dxfId="10">
      <formula>"Non-Compliant"</formula>
    </cfRule>
  </conditionalFormatting>
  <conditionalFormatting sqref="M2:M31">
    <cfRule type="cellIs" priority="8" operator="equal" aboveAverage="0" equalAverage="0" bottom="0" percent="0" rank="0" text="" dxfId="7">
      <formula>"Filed"</formula>
    </cfRule>
    <cfRule type="cellIs" priority="9" operator="equal" aboveAverage="0" equalAverage="0" bottom="0" percent="0" rank="0" text="" dxfId="9">
      <formula>"Filed - Late"</formula>
    </cfRule>
    <cfRule type="cellIs" priority="10" operator="equal" aboveAverage="0" equalAverage="0" bottom="0" percent="0" rank="0" text="" dxfId="10">
      <formula>"Not Filed"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4" min="3" style="1" width="34"/>
    <col collapsed="false" customWidth="true" hidden="false" outlineLevel="0" max="5" min="5" style="1" width="15"/>
    <col collapsed="false" customWidth="true" hidden="false" outlineLevel="0" max="6" min="6" style="1" width="30"/>
    <col collapsed="false" customWidth="true" hidden="false" outlineLevel="0" max="7" min="7" style="1" width="22"/>
    <col collapsed="false" customWidth="true" hidden="false" outlineLevel="0" max="8" min="8" style="1" width="13"/>
    <col collapsed="false" customWidth="true" hidden="false" outlineLevel="0" max="9" min="9" style="1" width="11"/>
    <col collapsed="false" customWidth="true" hidden="false" outlineLevel="0" max="10" min="10" style="1" width="10"/>
    <col collapsed="false" customWidth="true" hidden="false" outlineLevel="0" max="11" min="11" style="1" width="32"/>
  </cols>
  <sheetData>
    <row r="1" customFormat="false" ht="30" hidden="false" customHeight="true" outlineLevel="0" collapsed="false">
      <c r="A1" s="2" t="s">
        <v>297</v>
      </c>
      <c r="B1" s="2" t="s">
        <v>298</v>
      </c>
      <c r="C1" s="2" t="s">
        <v>299</v>
      </c>
      <c r="D1" s="2" t="s">
        <v>300</v>
      </c>
      <c r="E1" s="2" t="s">
        <v>301</v>
      </c>
      <c r="F1" s="2" t="s">
        <v>302</v>
      </c>
      <c r="G1" s="2" t="s">
        <v>303</v>
      </c>
      <c r="H1" s="2" t="s">
        <v>304</v>
      </c>
      <c r="I1" s="2" t="s">
        <v>305</v>
      </c>
      <c r="J1" s="2" t="s">
        <v>306</v>
      </c>
      <c r="K1" s="2" t="s">
        <v>307</v>
      </c>
    </row>
    <row r="2" customFormat="false" ht="23.25" hidden="false" customHeight="true" outlineLevel="0" collapsed="false">
      <c r="A2" s="38" t="s">
        <v>308</v>
      </c>
      <c r="B2" s="39" t="s">
        <v>309</v>
      </c>
      <c r="C2" s="38" t="s">
        <v>310</v>
      </c>
      <c r="D2" s="38" t="s">
        <v>311</v>
      </c>
      <c r="E2" s="40"/>
      <c r="F2" s="38" t="s">
        <v>312</v>
      </c>
      <c r="G2" s="38" t="s">
        <v>313</v>
      </c>
      <c r="H2" s="38" t="s">
        <v>314</v>
      </c>
      <c r="I2" s="38" t="n">
        <v>2</v>
      </c>
      <c r="J2" s="38" t="n">
        <v>2</v>
      </c>
      <c r="K2" s="38" t="s">
        <v>315</v>
      </c>
    </row>
    <row r="3" customFormat="false" ht="15" hidden="false" customHeight="true" outlineLevel="0" collapsed="false">
      <c r="A3" s="38" t="s">
        <v>316</v>
      </c>
      <c r="B3" s="39" t="s">
        <v>309</v>
      </c>
      <c r="C3" s="38" t="s">
        <v>317</v>
      </c>
      <c r="D3" s="38" t="s">
        <v>318</v>
      </c>
      <c r="E3" s="40"/>
      <c r="F3" s="38" t="s">
        <v>319</v>
      </c>
      <c r="G3" s="38" t="s">
        <v>320</v>
      </c>
      <c r="H3" s="38" t="s">
        <v>111</v>
      </c>
      <c r="I3" s="38" t="n">
        <v>2</v>
      </c>
      <c r="J3" s="38" t="n">
        <v>2</v>
      </c>
      <c r="K3" s="38" t="s">
        <v>321</v>
      </c>
    </row>
    <row r="4" customFormat="false" ht="23.25" hidden="false" customHeight="true" outlineLevel="0" collapsed="false">
      <c r="A4" s="38" t="s">
        <v>322</v>
      </c>
      <c r="B4" s="39" t="s">
        <v>309</v>
      </c>
      <c r="C4" s="38" t="s">
        <v>323</v>
      </c>
      <c r="D4" s="38" t="s">
        <v>324</v>
      </c>
      <c r="E4" s="40" t="n">
        <v>1</v>
      </c>
      <c r="F4" s="38" t="s">
        <v>325</v>
      </c>
      <c r="G4" s="38" t="s">
        <v>326</v>
      </c>
      <c r="H4" s="38" t="s">
        <v>327</v>
      </c>
      <c r="I4" s="38" t="n">
        <v>1</v>
      </c>
      <c r="J4" s="38" t="n">
        <v>2</v>
      </c>
      <c r="K4" s="38" t="s">
        <v>328</v>
      </c>
    </row>
    <row r="5" customFormat="false" ht="15" hidden="false" customHeight="true" outlineLevel="0" collapsed="false">
      <c r="A5" s="38" t="s">
        <v>329</v>
      </c>
      <c r="B5" s="39" t="s">
        <v>309</v>
      </c>
      <c r="C5" s="38" t="s">
        <v>330</v>
      </c>
      <c r="D5" s="38" t="s">
        <v>331</v>
      </c>
      <c r="E5" s="40"/>
      <c r="F5" s="38" t="s">
        <v>332</v>
      </c>
      <c r="G5" s="38" t="s">
        <v>313</v>
      </c>
      <c r="H5" s="38" t="s">
        <v>314</v>
      </c>
      <c r="I5" s="38" t="n">
        <v>2</v>
      </c>
      <c r="J5" s="38" t="n">
        <v>2</v>
      </c>
      <c r="K5" s="38" t="s">
        <v>333</v>
      </c>
    </row>
    <row r="6" customFormat="false" ht="23.25" hidden="false" customHeight="true" outlineLevel="0" collapsed="false">
      <c r="A6" s="38" t="s">
        <v>334</v>
      </c>
      <c r="B6" s="41" t="s">
        <v>335</v>
      </c>
      <c r="C6" s="38" t="s">
        <v>336</v>
      </c>
      <c r="D6" s="38" t="s">
        <v>337</v>
      </c>
      <c r="E6" s="40" t="n">
        <v>1</v>
      </c>
      <c r="F6" s="38" t="s">
        <v>338</v>
      </c>
      <c r="G6" s="38" t="s">
        <v>313</v>
      </c>
      <c r="H6" s="38" t="s">
        <v>339</v>
      </c>
      <c r="I6" s="38" t="n">
        <v>2</v>
      </c>
      <c r="J6" s="38" t="n">
        <v>2</v>
      </c>
      <c r="K6" s="38" t="s">
        <v>340</v>
      </c>
    </row>
    <row r="7" customFormat="false" ht="15" hidden="false" customHeight="true" outlineLevel="0" collapsed="false">
      <c r="A7" s="38" t="s">
        <v>341</v>
      </c>
      <c r="B7" s="41" t="s">
        <v>335</v>
      </c>
      <c r="C7" s="38" t="s">
        <v>342</v>
      </c>
      <c r="D7" s="38" t="s">
        <v>337</v>
      </c>
      <c r="E7" s="40" t="n">
        <v>1</v>
      </c>
      <c r="F7" s="38" t="s">
        <v>343</v>
      </c>
      <c r="G7" s="38" t="s">
        <v>326</v>
      </c>
      <c r="H7" s="38" t="s">
        <v>344</v>
      </c>
      <c r="I7" s="38" t="n">
        <v>2</v>
      </c>
      <c r="J7" s="38" t="n">
        <v>2</v>
      </c>
      <c r="K7" s="38" t="s">
        <v>345</v>
      </c>
    </row>
    <row r="8" customFormat="false" ht="23.25" hidden="false" customHeight="true" outlineLevel="0" collapsed="false">
      <c r="A8" s="38" t="s">
        <v>346</v>
      </c>
      <c r="B8" s="41" t="s">
        <v>335</v>
      </c>
      <c r="C8" s="38" t="s">
        <v>347</v>
      </c>
      <c r="D8" s="38" t="s">
        <v>337</v>
      </c>
      <c r="E8" s="40" t="n">
        <v>1</v>
      </c>
      <c r="F8" s="38" t="s">
        <v>348</v>
      </c>
      <c r="G8" s="38" t="s">
        <v>349</v>
      </c>
      <c r="H8" s="38" t="s">
        <v>350</v>
      </c>
      <c r="I8" s="38" t="n">
        <v>2</v>
      </c>
      <c r="J8" s="38" t="n">
        <v>2</v>
      </c>
      <c r="K8" s="38" t="s">
        <v>351</v>
      </c>
    </row>
    <row r="9" customFormat="false" ht="23.25" hidden="false" customHeight="true" outlineLevel="0" collapsed="false">
      <c r="A9" s="38" t="s">
        <v>352</v>
      </c>
      <c r="B9" s="42" t="s">
        <v>353</v>
      </c>
      <c r="C9" s="38" t="s">
        <v>354</v>
      </c>
      <c r="D9" s="38" t="s">
        <v>355</v>
      </c>
      <c r="E9" s="40"/>
      <c r="F9" s="38" t="s">
        <v>356</v>
      </c>
      <c r="G9" s="38" t="s">
        <v>313</v>
      </c>
      <c r="H9" s="38" t="s">
        <v>357</v>
      </c>
      <c r="I9" s="38" t="n">
        <v>2</v>
      </c>
      <c r="J9" s="38" t="n">
        <v>2</v>
      </c>
      <c r="K9" s="38" t="s">
        <v>358</v>
      </c>
    </row>
    <row r="10" customFormat="false" ht="23.25" hidden="false" customHeight="true" outlineLevel="0" collapsed="false">
      <c r="A10" s="38" t="s">
        <v>359</v>
      </c>
      <c r="B10" s="42" t="s">
        <v>353</v>
      </c>
      <c r="C10" s="38" t="s">
        <v>360</v>
      </c>
      <c r="D10" s="38" t="s">
        <v>361</v>
      </c>
      <c r="E10" s="40"/>
      <c r="F10" s="38" t="s">
        <v>362</v>
      </c>
      <c r="G10" s="38" t="s">
        <v>363</v>
      </c>
      <c r="H10" s="38" t="s">
        <v>357</v>
      </c>
      <c r="I10" s="38" t="n">
        <v>1</v>
      </c>
      <c r="J10" s="38" t="n">
        <v>2</v>
      </c>
      <c r="K10" s="38" t="s">
        <v>364</v>
      </c>
    </row>
    <row r="11" customFormat="false" ht="23.25" hidden="false" customHeight="true" outlineLevel="0" collapsed="false">
      <c r="A11" s="38" t="s">
        <v>365</v>
      </c>
      <c r="B11" s="42" t="s">
        <v>353</v>
      </c>
      <c r="C11" s="38" t="s">
        <v>366</v>
      </c>
      <c r="D11" s="38" t="s">
        <v>367</v>
      </c>
      <c r="E11" s="40"/>
      <c r="F11" s="38" t="s">
        <v>368</v>
      </c>
      <c r="G11" s="38" t="s">
        <v>313</v>
      </c>
      <c r="H11" s="38" t="s">
        <v>369</v>
      </c>
      <c r="I11" s="38" t="n">
        <v>2</v>
      </c>
      <c r="J11" s="38" t="n">
        <v>2</v>
      </c>
      <c r="K11" s="38" t="s">
        <v>370</v>
      </c>
    </row>
    <row r="12" customFormat="false" ht="23.25" hidden="false" customHeight="true" outlineLevel="0" collapsed="false">
      <c r="A12" s="38" t="s">
        <v>371</v>
      </c>
      <c r="B12" s="43" t="s">
        <v>372</v>
      </c>
      <c r="C12" s="38" t="s">
        <v>373</v>
      </c>
      <c r="D12" s="38" t="s">
        <v>374</v>
      </c>
      <c r="E12" s="40" t="n">
        <v>0.82</v>
      </c>
      <c r="F12" s="38" t="s">
        <v>375</v>
      </c>
      <c r="G12" s="38" t="s">
        <v>376</v>
      </c>
      <c r="H12" s="38" t="s">
        <v>377</v>
      </c>
      <c r="I12" s="38" t="n">
        <v>2</v>
      </c>
      <c r="J12" s="38" t="n">
        <v>2</v>
      </c>
      <c r="K12" s="38" t="s">
        <v>378</v>
      </c>
    </row>
    <row r="13" customFormat="false" ht="23.25" hidden="false" customHeight="true" outlineLevel="0" collapsed="false">
      <c r="A13" s="38" t="s">
        <v>379</v>
      </c>
      <c r="B13" s="43" t="s">
        <v>372</v>
      </c>
      <c r="C13" s="38" t="s">
        <v>380</v>
      </c>
      <c r="D13" s="38" t="s">
        <v>381</v>
      </c>
      <c r="E13" s="40"/>
      <c r="F13" s="38" t="s">
        <v>382</v>
      </c>
      <c r="G13" s="38" t="s">
        <v>349</v>
      </c>
      <c r="H13" s="38" t="s">
        <v>350</v>
      </c>
      <c r="I13" s="38" t="n">
        <v>2</v>
      </c>
      <c r="J13" s="38" t="n">
        <v>2</v>
      </c>
      <c r="K13" s="38" t="s">
        <v>383</v>
      </c>
    </row>
    <row r="14" customFormat="false" ht="15" hidden="false" customHeight="true" outlineLevel="0" collapsed="false">
      <c r="A14" s="38" t="s">
        <v>384</v>
      </c>
      <c r="B14" s="43" t="s">
        <v>372</v>
      </c>
      <c r="C14" s="38" t="s">
        <v>385</v>
      </c>
      <c r="D14" s="38" t="s">
        <v>386</v>
      </c>
      <c r="E14" s="40"/>
      <c r="F14" s="38" t="s">
        <v>387</v>
      </c>
      <c r="G14" s="38" t="s">
        <v>326</v>
      </c>
      <c r="H14" s="38" t="s">
        <v>388</v>
      </c>
      <c r="I14" s="38" t="n">
        <v>1</v>
      </c>
      <c r="J14" s="38" t="n">
        <v>2</v>
      </c>
      <c r="K14" s="38" t="s">
        <v>389</v>
      </c>
    </row>
    <row r="15" customFormat="false" ht="15" hidden="false" customHeight="true" outlineLevel="0" collapsed="false">
      <c r="A15" s="38" t="s">
        <v>390</v>
      </c>
      <c r="B15" s="43" t="s">
        <v>372</v>
      </c>
      <c r="C15" s="38" t="s">
        <v>391</v>
      </c>
      <c r="D15" s="38" t="s">
        <v>386</v>
      </c>
      <c r="E15" s="40"/>
      <c r="F15" s="38" t="s">
        <v>392</v>
      </c>
      <c r="G15" s="38" t="s">
        <v>349</v>
      </c>
      <c r="H15" s="38" t="s">
        <v>388</v>
      </c>
      <c r="I15" s="38" t="n">
        <v>2</v>
      </c>
      <c r="J15" s="38" t="n">
        <v>2</v>
      </c>
      <c r="K15" s="38"/>
    </row>
    <row r="16" customFormat="false" ht="23.25" hidden="false" customHeight="true" outlineLevel="0" collapsed="false">
      <c r="A16" s="38" t="s">
        <v>393</v>
      </c>
      <c r="B16" s="43" t="s">
        <v>372</v>
      </c>
      <c r="C16" s="38" t="s">
        <v>394</v>
      </c>
      <c r="D16" s="38" t="s">
        <v>395</v>
      </c>
      <c r="E16" s="40"/>
      <c r="F16" s="38" t="s">
        <v>396</v>
      </c>
      <c r="G16" s="38" t="s">
        <v>397</v>
      </c>
      <c r="H16" s="38" t="s">
        <v>398</v>
      </c>
      <c r="I16" s="38" t="n">
        <v>2</v>
      </c>
      <c r="J16" s="38" t="n">
        <v>2</v>
      </c>
      <c r="K16" s="38" t="s">
        <v>399</v>
      </c>
    </row>
    <row r="17" customFormat="false" ht="23.25" hidden="false" customHeight="true" outlineLevel="0" collapsed="false">
      <c r="A17" s="38" t="s">
        <v>400</v>
      </c>
      <c r="B17" s="43" t="s">
        <v>372</v>
      </c>
      <c r="C17" s="38" t="s">
        <v>401</v>
      </c>
      <c r="D17" s="38" t="s">
        <v>402</v>
      </c>
      <c r="E17" s="40"/>
      <c r="F17" s="38"/>
      <c r="G17" s="38" t="s">
        <v>397</v>
      </c>
      <c r="H17" s="38"/>
      <c r="I17" s="38" t="n">
        <v>0</v>
      </c>
      <c r="J17" s="38" t="n">
        <v>2</v>
      </c>
      <c r="K17" s="38" t="s">
        <v>403</v>
      </c>
    </row>
    <row r="18" customFormat="false" ht="23.25" hidden="false" customHeight="true" outlineLevel="0" collapsed="false">
      <c r="A18" s="38" t="s">
        <v>404</v>
      </c>
      <c r="B18" s="43" t="s">
        <v>372</v>
      </c>
      <c r="C18" s="38" t="s">
        <v>405</v>
      </c>
      <c r="D18" s="38" t="s">
        <v>406</v>
      </c>
      <c r="E18" s="40" t="n">
        <v>1</v>
      </c>
      <c r="F18" s="38" t="s">
        <v>407</v>
      </c>
      <c r="G18" s="38" t="s">
        <v>313</v>
      </c>
      <c r="H18" s="38" t="s">
        <v>408</v>
      </c>
      <c r="I18" s="38" t="n">
        <v>1</v>
      </c>
      <c r="J18" s="38" t="n">
        <v>2</v>
      </c>
      <c r="K18" s="38" t="s">
        <v>409</v>
      </c>
    </row>
    <row r="19" customFormat="false" ht="23.25" hidden="false" customHeight="true" outlineLevel="0" collapsed="false">
      <c r="A19" s="38" t="s">
        <v>410</v>
      </c>
      <c r="B19" s="43" t="s">
        <v>372</v>
      </c>
      <c r="C19" s="38" t="s">
        <v>411</v>
      </c>
      <c r="D19" s="38" t="s">
        <v>412</v>
      </c>
      <c r="E19" s="40" t="n">
        <v>1</v>
      </c>
      <c r="F19" s="38" t="s">
        <v>413</v>
      </c>
      <c r="G19" s="38" t="s">
        <v>313</v>
      </c>
      <c r="H19" s="38" t="s">
        <v>414</v>
      </c>
      <c r="I19" s="38" t="n">
        <v>2</v>
      </c>
      <c r="J19" s="38" t="n">
        <v>2</v>
      </c>
      <c r="K19" s="38" t="s">
        <v>415</v>
      </c>
    </row>
    <row r="20" customFormat="false" ht="23.25" hidden="false" customHeight="true" outlineLevel="0" collapsed="false">
      <c r="A20" s="38" t="s">
        <v>416</v>
      </c>
      <c r="B20" s="43" t="s">
        <v>372</v>
      </c>
      <c r="C20" s="38" t="s">
        <v>417</v>
      </c>
      <c r="D20" s="38" t="s">
        <v>418</v>
      </c>
      <c r="E20" s="40" t="n">
        <v>1</v>
      </c>
      <c r="F20" s="38" t="s">
        <v>419</v>
      </c>
      <c r="G20" s="38" t="s">
        <v>363</v>
      </c>
      <c r="H20" s="38" t="s">
        <v>414</v>
      </c>
      <c r="I20" s="38" t="n">
        <v>2</v>
      </c>
      <c r="J20" s="38" t="n">
        <v>2</v>
      </c>
      <c r="K20" s="38" t="s">
        <v>420</v>
      </c>
    </row>
    <row r="21" customFormat="false" ht="15" hidden="false" customHeight="true" outlineLevel="0" collapsed="false">
      <c r="A21" s="38" t="s">
        <v>421</v>
      </c>
      <c r="B21" s="43" t="s">
        <v>372</v>
      </c>
      <c r="C21" s="38" t="s">
        <v>422</v>
      </c>
      <c r="D21" s="38" t="s">
        <v>423</v>
      </c>
      <c r="E21" s="40" t="n">
        <v>1</v>
      </c>
      <c r="F21" s="38" t="s">
        <v>424</v>
      </c>
      <c r="G21" s="38" t="s">
        <v>376</v>
      </c>
      <c r="H21" s="38" t="s">
        <v>408</v>
      </c>
      <c r="I21" s="38" t="n">
        <v>2</v>
      </c>
      <c r="J21" s="38" t="n">
        <v>2</v>
      </c>
      <c r="K21" s="38"/>
    </row>
    <row r="22" customFormat="false" ht="23.25" hidden="false" customHeight="true" outlineLevel="0" collapsed="false">
      <c r="A22" s="38" t="s">
        <v>425</v>
      </c>
      <c r="B22" s="43" t="s">
        <v>372</v>
      </c>
      <c r="C22" s="38" t="s">
        <v>426</v>
      </c>
      <c r="D22" s="38" t="s">
        <v>427</v>
      </c>
      <c r="E22" s="40" t="n">
        <v>0.4</v>
      </c>
      <c r="F22" s="38" t="s">
        <v>424</v>
      </c>
      <c r="G22" s="38" t="s">
        <v>376</v>
      </c>
      <c r="H22" s="38" t="s">
        <v>408</v>
      </c>
      <c r="I22" s="38" t="n">
        <v>1</v>
      </c>
      <c r="J22" s="38" t="n">
        <v>2</v>
      </c>
      <c r="K22" s="38"/>
    </row>
    <row r="23" customFormat="false" ht="23.25" hidden="false" customHeight="true" outlineLevel="0" collapsed="false">
      <c r="A23" s="38" t="s">
        <v>428</v>
      </c>
      <c r="B23" s="43" t="s">
        <v>372</v>
      </c>
      <c r="C23" s="38" t="s">
        <v>429</v>
      </c>
      <c r="D23" s="38" t="s">
        <v>430</v>
      </c>
      <c r="E23" s="40"/>
      <c r="F23" s="38"/>
      <c r="G23" s="38" t="s">
        <v>313</v>
      </c>
      <c r="H23" s="38"/>
      <c r="I23" s="38" t="n">
        <v>0</v>
      </c>
      <c r="J23" s="38" t="n">
        <v>1</v>
      </c>
      <c r="K23" s="38" t="s">
        <v>431</v>
      </c>
    </row>
    <row r="24" customFormat="false" ht="23.25" hidden="false" customHeight="true" outlineLevel="0" collapsed="false">
      <c r="A24" s="38" t="s">
        <v>432</v>
      </c>
      <c r="B24" s="44" t="s">
        <v>433</v>
      </c>
      <c r="C24" s="38" t="s">
        <v>434</v>
      </c>
      <c r="D24" s="38" t="s">
        <v>435</v>
      </c>
      <c r="E24" s="40" t="n">
        <v>0.76</v>
      </c>
      <c r="F24" s="38" t="s">
        <v>436</v>
      </c>
      <c r="G24" s="38" t="s">
        <v>437</v>
      </c>
      <c r="H24" s="38" t="s">
        <v>438</v>
      </c>
      <c r="I24" s="38" t="n">
        <v>2</v>
      </c>
      <c r="J24" s="38" t="n">
        <v>2</v>
      </c>
      <c r="K24" s="38" t="s">
        <v>439</v>
      </c>
    </row>
    <row r="25" customFormat="false" ht="23.25" hidden="false" customHeight="true" outlineLevel="0" collapsed="false">
      <c r="A25" s="38" t="s">
        <v>440</v>
      </c>
      <c r="B25" s="44" t="s">
        <v>433</v>
      </c>
      <c r="C25" s="38" t="s">
        <v>441</v>
      </c>
      <c r="D25" s="38" t="s">
        <v>442</v>
      </c>
      <c r="E25" s="40"/>
      <c r="F25" s="38" t="s">
        <v>443</v>
      </c>
      <c r="G25" s="38" t="s">
        <v>326</v>
      </c>
      <c r="H25" s="38" t="s">
        <v>444</v>
      </c>
      <c r="I25" s="38" t="n">
        <v>1</v>
      </c>
      <c r="J25" s="38" t="n">
        <v>2</v>
      </c>
      <c r="K25" s="38" t="s">
        <v>445</v>
      </c>
    </row>
    <row r="26" customFormat="false" ht="23.25" hidden="false" customHeight="true" outlineLevel="0" collapsed="false">
      <c r="A26" s="38" t="s">
        <v>446</v>
      </c>
      <c r="B26" s="44" t="s">
        <v>433</v>
      </c>
      <c r="C26" s="38" t="s">
        <v>447</v>
      </c>
      <c r="D26" s="38" t="s">
        <v>448</v>
      </c>
      <c r="E26" s="40"/>
      <c r="F26" s="38" t="s">
        <v>449</v>
      </c>
      <c r="G26" s="38" t="s">
        <v>313</v>
      </c>
      <c r="H26" s="38" t="s">
        <v>450</v>
      </c>
      <c r="I26" s="38" t="n">
        <v>1</v>
      </c>
      <c r="J26" s="38" t="n">
        <v>2</v>
      </c>
      <c r="K26" s="38" t="s">
        <v>451</v>
      </c>
    </row>
    <row r="27" customFormat="false" ht="23.25" hidden="false" customHeight="true" outlineLevel="0" collapsed="false">
      <c r="A27" s="38" t="s">
        <v>452</v>
      </c>
      <c r="B27" s="44" t="s">
        <v>433</v>
      </c>
      <c r="C27" s="38" t="s">
        <v>453</v>
      </c>
      <c r="D27" s="38" t="s">
        <v>454</v>
      </c>
      <c r="E27" s="40"/>
      <c r="F27" s="38" t="s">
        <v>455</v>
      </c>
      <c r="G27" s="38" t="s">
        <v>456</v>
      </c>
      <c r="H27" s="38" t="s">
        <v>457</v>
      </c>
      <c r="I27" s="38" t="n">
        <v>2</v>
      </c>
      <c r="J27" s="38" t="n">
        <v>2</v>
      </c>
      <c r="K27" s="38" t="s">
        <v>458</v>
      </c>
    </row>
    <row r="29" customFormat="false" ht="15" hidden="false" customHeight="true" outlineLevel="0" collapsed="false">
      <c r="A29" s="15"/>
      <c r="B29" s="15"/>
      <c r="C29" s="16" t="s">
        <v>459</v>
      </c>
      <c r="D29" s="15"/>
      <c r="E29" s="15"/>
      <c r="F29" s="15"/>
      <c r="G29" s="15"/>
      <c r="H29" s="15"/>
      <c r="I29" s="16" t="n">
        <f aca="false">SUM(I2:I27)</f>
        <v>41</v>
      </c>
      <c r="J29" s="16" t="n">
        <f aca="false">SUM(J2:J27)</f>
        <v>51</v>
      </c>
      <c r="K29" s="15"/>
    </row>
    <row r="30" customFormat="false" ht="15" hidden="false" customHeight="true" outlineLevel="0" collapsed="false">
      <c r="C30" s="45" t="s">
        <v>460</v>
      </c>
      <c r="I30" s="46" t="n">
        <f aca="false">I29/J29</f>
        <v>0.803921568627451</v>
      </c>
    </row>
  </sheetData>
  <autoFilter ref="A1:K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90"/>
  </cols>
  <sheetData>
    <row r="1" customFormat="false" ht="15" hidden="false" customHeight="true" outlineLevel="0" collapsed="false">
      <c r="A1" s="47" t="s">
        <v>461</v>
      </c>
      <c r="B1" s="48" t="s">
        <v>462</v>
      </c>
    </row>
    <row r="2" customFormat="false" ht="15" hidden="false" customHeight="true" outlineLevel="0" collapsed="false">
      <c r="A2" s="49" t="s">
        <v>463</v>
      </c>
      <c r="B2" s="48" t="s">
        <v>464</v>
      </c>
    </row>
    <row r="3" customFormat="false" ht="23.25" hidden="false" customHeight="true" outlineLevel="0" collapsed="false">
      <c r="A3" s="49" t="s">
        <v>465</v>
      </c>
      <c r="B3" s="48" t="s">
        <v>466</v>
      </c>
    </row>
    <row r="4" customFormat="false" ht="23.25" hidden="false" customHeight="true" outlineLevel="0" collapsed="false">
      <c r="A4" s="49" t="s">
        <v>467</v>
      </c>
      <c r="B4" s="48" t="s">
        <v>468</v>
      </c>
    </row>
    <row r="5" customFormat="false" ht="15" hidden="false" customHeight="true" outlineLevel="0" collapsed="false">
      <c r="A5" s="49" t="s">
        <v>469</v>
      </c>
      <c r="B5" s="48" t="s">
        <v>470</v>
      </c>
    </row>
    <row r="6" customFormat="false" ht="15" hidden="false" customHeight="true" outlineLevel="0" collapsed="false">
      <c r="A6" s="49" t="s">
        <v>471</v>
      </c>
      <c r="B6" s="48" t="s">
        <v>472</v>
      </c>
    </row>
    <row r="7" customFormat="false" ht="15" hidden="false" customHeight="true" outlineLevel="0" collapsed="false">
      <c r="A7" s="49" t="s">
        <v>473</v>
      </c>
      <c r="B7" s="48" t="s">
        <v>474</v>
      </c>
    </row>
    <row r="8" customFormat="false" ht="15" hidden="false" customHeight="true" outlineLevel="0" collapsed="false">
      <c r="A8" s="49" t="s">
        <v>268</v>
      </c>
      <c r="B8" s="48" t="s">
        <v>475</v>
      </c>
    </row>
    <row r="9" customFormat="false" ht="15" hidden="false" customHeight="true" outlineLevel="0" collapsed="false">
      <c r="A9" s="49" t="s">
        <v>27</v>
      </c>
      <c r="B9" s="48" t="s">
        <v>476</v>
      </c>
    </row>
    <row r="10" customFormat="false" ht="15" hidden="false" customHeight="true" outlineLevel="0" collapsed="false">
      <c r="A10" s="49"/>
      <c r="B10" s="48"/>
    </row>
    <row r="11" customFormat="false" ht="15" hidden="false" customHeight="true" outlineLevel="0" collapsed="false">
      <c r="A11" s="47" t="s">
        <v>477</v>
      </c>
      <c r="B11" s="48"/>
    </row>
    <row r="12" customFormat="false" ht="15" hidden="false" customHeight="true" outlineLevel="0" collapsed="false">
      <c r="A12" s="49" t="s">
        <v>478</v>
      </c>
      <c r="B12" s="48" t="s">
        <v>479</v>
      </c>
    </row>
    <row r="13" customFormat="false" ht="23.25" hidden="false" customHeight="true" outlineLevel="0" collapsed="false">
      <c r="A13" s="49" t="s">
        <v>480</v>
      </c>
      <c r="B13" s="48" t="s">
        <v>481</v>
      </c>
    </row>
    <row r="14" customFormat="false" ht="15" hidden="false" customHeight="true" outlineLevel="0" collapsed="false">
      <c r="A14" s="49"/>
      <c r="B14" s="48"/>
    </row>
    <row r="15" customFormat="false" ht="15" hidden="false" customHeight="true" outlineLevel="0" collapsed="false">
      <c r="A15" s="47" t="s">
        <v>482</v>
      </c>
      <c r="B15" s="48"/>
    </row>
    <row r="16" customFormat="false" ht="23.25" hidden="false" customHeight="true" outlineLevel="0" collapsed="false">
      <c r="A16" s="49" t="s">
        <v>483</v>
      </c>
      <c r="B16" s="48" t="s">
        <v>484</v>
      </c>
    </row>
    <row r="17" customFormat="false" ht="34.5" hidden="false" customHeight="true" outlineLevel="0" collapsed="false">
      <c r="A17" s="49" t="s">
        <v>485</v>
      </c>
      <c r="B17" s="48" t="s">
        <v>486</v>
      </c>
    </row>
    <row r="19" customFormat="false" ht="15" hidden="false" customHeight="true" outlineLevel="0" collapsed="false">
      <c r="A19" s="47" t="s">
        <v>487</v>
      </c>
    </row>
    <row r="20" customFormat="false" ht="23.25" hidden="false" customHeight="true" outlineLevel="0" collapsed="false">
      <c r="A20" s="49" t="s">
        <v>488</v>
      </c>
      <c r="B20" s="48" t="s">
        <v>489</v>
      </c>
    </row>
    <row r="21" customFormat="false" ht="23.25" hidden="false" customHeight="true" outlineLevel="0" collapsed="false">
      <c r="A21" s="49" t="s">
        <v>490</v>
      </c>
      <c r="B21" s="48" t="s">
        <v>491</v>
      </c>
    </row>
    <row r="23" customFormat="false" ht="15" hidden="false" customHeight="true" outlineLevel="0" collapsed="false">
      <c r="A23" s="47" t="s">
        <v>492</v>
      </c>
    </row>
    <row r="24" customFormat="false" ht="45.75" hidden="false" customHeight="true" outlineLevel="0" collapsed="false">
      <c r="A24" s="49" t="s">
        <v>488</v>
      </c>
      <c r="B24" s="48" t="s">
        <v>493</v>
      </c>
    </row>
    <row r="25" customFormat="false" ht="23.25" hidden="false" customHeight="true" outlineLevel="0" collapsed="false">
      <c r="A25" s="49" t="s">
        <v>494</v>
      </c>
      <c r="B25" s="48" t="s">
        <v>495</v>
      </c>
    </row>
    <row r="27" customFormat="false" ht="15" hidden="false" customHeight="true" outlineLevel="0" collapsed="false">
      <c r="A27" s="47" t="s">
        <v>496</v>
      </c>
    </row>
    <row r="28" customFormat="false" ht="45.75" hidden="false" customHeight="true" outlineLevel="0" collapsed="false">
      <c r="A28" s="49" t="s">
        <v>497</v>
      </c>
      <c r="B28" s="48" t="s">
        <v>498</v>
      </c>
    </row>
    <row r="30" customFormat="false" ht="15" hidden="false" customHeight="true" outlineLevel="0" collapsed="false">
      <c r="A30" s="47" t="s">
        <v>499</v>
      </c>
    </row>
    <row r="31" customFormat="false" ht="57" hidden="false" customHeight="true" outlineLevel="0" collapsed="false">
      <c r="A31" s="49" t="s">
        <v>488</v>
      </c>
      <c r="B31" s="48" t="s">
        <v>500</v>
      </c>
    </row>
    <row r="32" customFormat="false" ht="34.5" hidden="false" customHeight="true" outlineLevel="0" collapsed="false">
      <c r="A32" s="49" t="s">
        <v>501</v>
      </c>
      <c r="B32" s="48" t="s">
        <v>502</v>
      </c>
    </row>
    <row r="34" customFormat="false" ht="15" hidden="false" customHeight="true" outlineLevel="0" collapsed="false">
      <c r="A34" s="47" t="s">
        <v>503</v>
      </c>
    </row>
    <row r="35" customFormat="false" ht="34.5" hidden="false" customHeight="true" outlineLevel="0" collapsed="false">
      <c r="A35" s="49" t="s">
        <v>462</v>
      </c>
      <c r="B35" s="48" t="s">
        <v>504</v>
      </c>
    </row>
    <row r="37" customFormat="false" ht="15" hidden="false" customHeight="true" outlineLevel="0" collapsed="false">
      <c r="A37" s="47" t="s">
        <v>505</v>
      </c>
    </row>
    <row r="38" customFormat="false" ht="57" hidden="false" customHeight="true" outlineLevel="0" collapsed="false">
      <c r="A38" s="49" t="s">
        <v>506</v>
      </c>
      <c r="B38" s="48" t="s">
        <v>507</v>
      </c>
    </row>
    <row r="39" customFormat="false" ht="45.75" hidden="false" customHeight="true" outlineLevel="0" collapsed="false">
      <c r="A39" s="49" t="s">
        <v>508</v>
      </c>
      <c r="B39" s="48" t="s">
        <v>509</v>
      </c>
    </row>
    <row r="41" customFormat="false" ht="15" hidden="false" customHeight="true" outlineLevel="0" collapsed="false">
      <c r="A41" s="47" t="inlineStr">
        <is>
          <t>ENERGY STAR eligibility - 2026-08-09</t>
        </is>
      </c>
    </row>
    <row r="42" customFormat="false" ht="15" hidden="false" customHeight="true" outlineLevel="0" collapsed="false">
      <c r="A42" s="49" t="inlineStr">
        <is>
          <t>12-Month Whole-Building Data Complete</t>
        </is>
      </c>
      <c r="B42" s="48" t="inlineStr">
        <is>
          <t>Y/N per asset. ENERGY STAR certification requires 12 full consecutive months of whole-building data across all fuel types, which is a separate gate from the 1-100 score. Fabricated for prototyping.</t>
        </is>
      </c>
    </row>
    <row r="43" customFormat="false" ht="15" hidden="false" customHeight="true" outlineLevel="0" collapsed="false">
      <c r="A43" s="49" t="inlineStr">
        <is>
          <t>Relationship to Data Coverage</t>
        </is>
      </c>
      <c r="B43" s="48" t="inlineStr">
        <is>
          <t>Deliberately independent. Data Coverage (%) measures how much floor area / consumption is verified, for audit-defensibility. This flag asks whether a complete 12-month year exists at all. An asset can have high coverage and an incomplete year (NY-023, 93.8%, N), or low coverage and a complete one (NY-026, 48.2%, Y). Certification eligibility = score 75+ AND this flag.</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2026-08-07T20:37:37Z</dcterms:created>
  <dc:creator>openpyxl</dc:creator>
  <dc:description/>
  <dc:language>en-US</dc:language>
  <cp:lastModifiedBy/>
  <dcterms:modified xsi:type="dcterms:W3CDTF">2026-08-09T16:36:40Z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